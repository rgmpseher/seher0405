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mile Foundation\Documents\"/>
    </mc:Choice>
  </mc:AlternateContent>
  <bookViews>
    <workbookView xWindow="0" yWindow="0" windowWidth="11445" windowHeight="8610" firstSheet="2" activeTab="2"/>
  </bookViews>
  <sheets>
    <sheet name="Sheet1" sheetId="1" r:id="rId1"/>
    <sheet name="Sheet15" sheetId="15" r:id="rId2"/>
    <sheet name="Sheet2" sheetId="2" r:id="rId3"/>
    <sheet name="Sheet3" sheetId="3" r:id="rId4"/>
    <sheet name="Sheet14" sheetId="14" r:id="rId5"/>
    <sheet name="Sheet4" sheetId="4" r:id="rId6"/>
    <sheet name="Sheet18" sheetId="18" r:id="rId7"/>
    <sheet name="Sheet5" sheetId="5" r:id="rId8"/>
    <sheet name="Sheet8" sheetId="8" r:id="rId9"/>
    <sheet name="Sheet6" sheetId="6" r:id="rId10"/>
    <sheet name="Sheet7" sheetId="7" r:id="rId11"/>
  </sheets>
  <definedNames>
    <definedName name="_xlchart.v1.0" hidden="1">Sheet5!$A$24:$B$31</definedName>
    <definedName name="_xlchart.v1.1" hidden="1">Sheet5!$C$23</definedName>
    <definedName name="_xlchart.v1.2" hidden="1">Sheet5!$C$24:$C$31</definedName>
    <definedName name="_xlchart.v1.3" hidden="1">Sheet5!$A$90:$B$109</definedName>
    <definedName name="_xlchart.v1.4" hidden="1">Sheet5!$C$89</definedName>
    <definedName name="_xlchart.v1.5" hidden="1">Sheet5!$C$90:$C$109</definedName>
    <definedName name="_xlnm.Print_Area" localSheetId="3">Sheet3!$A$1:$AO$71</definedName>
  </definedNames>
  <calcPr calcId="162913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" i="2" l="1"/>
  <c r="H67" i="2"/>
  <c r="H66" i="2"/>
  <c r="H13" i="2"/>
  <c r="H14" i="2"/>
  <c r="G9" i="2"/>
  <c r="G13" i="2"/>
  <c r="G36" i="2"/>
  <c r="G63" i="2"/>
  <c r="I52" i="2"/>
  <c r="I55" i="2"/>
  <c r="H58" i="2"/>
  <c r="I11" i="2"/>
  <c r="I12" i="2"/>
  <c r="I75" i="7" l="1"/>
  <c r="H74" i="7"/>
  <c r="I73" i="7"/>
  <c r="H73" i="7"/>
  <c r="G73" i="7"/>
  <c r="I12" i="8" l="1"/>
  <c r="I11" i="8"/>
  <c r="I9" i="8"/>
  <c r="I8" i="8"/>
  <c r="H8" i="8"/>
  <c r="F8" i="8"/>
  <c r="H53" i="7" l="1"/>
  <c r="I47" i="7"/>
  <c r="I43" i="7"/>
  <c r="H45" i="7"/>
  <c r="H43" i="7"/>
  <c r="I44" i="7"/>
  <c r="E10" i="7"/>
  <c r="E6" i="7"/>
  <c r="C12" i="7"/>
  <c r="F32" i="6"/>
  <c r="P9" i="4"/>
  <c r="O9" i="4"/>
  <c r="P23" i="4"/>
  <c r="P14" i="4"/>
  <c r="P13" i="4"/>
  <c r="M9" i="4"/>
  <c r="L9" i="4"/>
  <c r="K9" i="4"/>
  <c r="M18" i="4"/>
  <c r="L13" i="4"/>
  <c r="K14" i="4"/>
  <c r="L19" i="4"/>
  <c r="K19" i="4"/>
  <c r="K21" i="4"/>
  <c r="J19" i="4"/>
  <c r="J17" i="4"/>
  <c r="J9" i="4"/>
  <c r="J10" i="4"/>
  <c r="AN34" i="3"/>
  <c r="G21" i="2"/>
  <c r="J85" i="1"/>
  <c r="H81" i="1" l="1"/>
  <c r="H82" i="1"/>
  <c r="H83" i="1"/>
  <c r="H84" i="1"/>
  <c r="H85" i="1"/>
  <c r="H86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65" i="1"/>
  <c r="H26" i="18"/>
  <c r="H24" i="18"/>
  <c r="H23" i="18"/>
  <c r="H27" i="18"/>
  <c r="H21" i="18"/>
  <c r="F34" i="18"/>
  <c r="F40" i="18" l="1"/>
  <c r="F39" i="18"/>
  <c r="F38" i="18"/>
  <c r="F37" i="18"/>
  <c r="F36" i="18"/>
  <c r="F35" i="18"/>
  <c r="G30" i="18"/>
  <c r="H30" i="18" s="1"/>
  <c r="G29" i="18"/>
  <c r="H29" i="18" s="1"/>
  <c r="G28" i="18"/>
  <c r="H28" i="18" s="1"/>
  <c r="G27" i="18"/>
  <c r="G26" i="18"/>
  <c r="G25" i="18"/>
  <c r="H25" i="18" s="1"/>
  <c r="G24" i="18"/>
  <c r="G23" i="18"/>
  <c r="G22" i="18"/>
  <c r="H22" i="18" s="1"/>
  <c r="G21" i="18"/>
  <c r="D65" i="1"/>
  <c r="AG7" i="3"/>
  <c r="G55" i="2" l="1"/>
  <c r="H55" i="2"/>
  <c r="F38" i="8"/>
  <c r="G40" i="8"/>
  <c r="G38" i="8"/>
  <c r="I38" i="8"/>
  <c r="H16" i="8"/>
  <c r="I15" i="8"/>
  <c r="I13" i="8"/>
  <c r="I10" i="8"/>
  <c r="G8" i="8"/>
  <c r="I55" i="8"/>
  <c r="E17" i="7"/>
  <c r="E7" i="7"/>
  <c r="E4" i="7"/>
  <c r="H97" i="6"/>
  <c r="G88" i="6"/>
  <c r="G89" i="6"/>
  <c r="G90" i="6" s="1"/>
  <c r="G91" i="6" s="1"/>
  <c r="G92" i="6" s="1"/>
  <c r="G93" i="6" s="1"/>
  <c r="G94" i="6" s="1"/>
  <c r="G95" i="6" s="1"/>
  <c r="G96" i="6" s="1"/>
  <c r="G97" i="6" s="1"/>
  <c r="G87" i="6"/>
  <c r="P12" i="4"/>
  <c r="G58" i="7" l="1"/>
  <c r="E30" i="7"/>
  <c r="E5" i="7"/>
  <c r="H55" i="8" l="1"/>
  <c r="H60" i="8"/>
  <c r="G55" i="8"/>
  <c r="I66" i="8"/>
  <c r="H66" i="8"/>
  <c r="G66" i="8"/>
  <c r="F66" i="8"/>
  <c r="H52" i="8"/>
  <c r="F65" i="8"/>
  <c r="I39" i="8"/>
  <c r="F56" i="8"/>
  <c r="F57" i="8"/>
  <c r="F58" i="8"/>
  <c r="F59" i="8"/>
  <c r="F60" i="8"/>
  <c r="F61" i="8"/>
  <c r="F62" i="8"/>
  <c r="F63" i="8"/>
  <c r="F64" i="8"/>
  <c r="F55" i="8"/>
  <c r="F24" i="8"/>
  <c r="G24" i="8"/>
  <c r="H38" i="8"/>
  <c r="G39" i="8"/>
  <c r="H40" i="8"/>
  <c r="I40" i="8" s="1"/>
  <c r="G41" i="8" s="1"/>
  <c r="H39" i="8"/>
  <c r="I24" i="8"/>
  <c r="H24" i="8"/>
  <c r="F39" i="8"/>
  <c r="F40" i="8"/>
  <c r="F41" i="8"/>
  <c r="F42" i="8"/>
  <c r="F43" i="8"/>
  <c r="F44" i="8"/>
  <c r="F45" i="8"/>
  <c r="F46" i="8"/>
  <c r="G26" i="8"/>
  <c r="H26" i="8" s="1"/>
  <c r="I26" i="8" s="1"/>
  <c r="G27" i="8" s="1"/>
  <c r="F47" i="8"/>
  <c r="I25" i="8"/>
  <c r="H25" i="8"/>
  <c r="G25" i="8"/>
  <c r="F25" i="8"/>
  <c r="F26" i="8"/>
  <c r="F27" i="8"/>
  <c r="F28" i="8"/>
  <c r="F29" i="8"/>
  <c r="F30" i="8"/>
  <c r="F31" i="8"/>
  <c r="F32" i="8"/>
  <c r="F33" i="8"/>
  <c r="F34" i="8"/>
  <c r="H41" i="8" l="1"/>
  <c r="I41" i="8" s="1"/>
  <c r="G42" i="8" s="1"/>
  <c r="G56" i="8"/>
  <c r="H56" i="8" s="1"/>
  <c r="I56" i="8" s="1"/>
  <c r="H27" i="8"/>
  <c r="I27" i="8"/>
  <c r="G28" i="8" s="1"/>
  <c r="F9" i="8"/>
  <c r="F10" i="8"/>
  <c r="F11" i="8"/>
  <c r="F12" i="8"/>
  <c r="F13" i="8"/>
  <c r="F14" i="8"/>
  <c r="F15" i="8"/>
  <c r="F16" i="8"/>
  <c r="F17" i="8"/>
  <c r="F18" i="8"/>
  <c r="F19" i="8"/>
  <c r="H42" i="8" l="1"/>
  <c r="I42" i="8" s="1"/>
  <c r="G43" i="8" s="1"/>
  <c r="G57" i="8"/>
  <c r="H57" i="8" s="1"/>
  <c r="I57" i="8"/>
  <c r="H28" i="8"/>
  <c r="I28" i="8" s="1"/>
  <c r="G29" i="8" s="1"/>
  <c r="G9" i="8"/>
  <c r="H9" i="8"/>
  <c r="I74" i="7"/>
  <c r="I76" i="7"/>
  <c r="I77" i="7"/>
  <c r="I78" i="7"/>
  <c r="I79" i="7"/>
  <c r="I80" i="7"/>
  <c r="I81" i="7"/>
  <c r="I82" i="7"/>
  <c r="I83" i="7"/>
  <c r="H75" i="7"/>
  <c r="H76" i="7"/>
  <c r="H77" i="7"/>
  <c r="H78" i="7"/>
  <c r="H79" i="7"/>
  <c r="H80" i="7"/>
  <c r="H81" i="7"/>
  <c r="H82" i="7"/>
  <c r="H83" i="7"/>
  <c r="G82" i="7"/>
  <c r="G75" i="7"/>
  <c r="G74" i="7"/>
  <c r="G77" i="7"/>
  <c r="G78" i="7"/>
  <c r="G79" i="7"/>
  <c r="G80" i="7"/>
  <c r="G81" i="7"/>
  <c r="G83" i="7"/>
  <c r="G76" i="7"/>
  <c r="H43" i="8" l="1"/>
  <c r="I43" i="8"/>
  <c r="G44" i="8" s="1"/>
  <c r="G58" i="8"/>
  <c r="H58" i="8" s="1"/>
  <c r="I58" i="8" s="1"/>
  <c r="H29" i="8"/>
  <c r="I29" i="8"/>
  <c r="G30" i="8" s="1"/>
  <c r="G10" i="8"/>
  <c r="H10" i="8" s="1"/>
  <c r="I59" i="7"/>
  <c r="I60" i="7"/>
  <c r="I61" i="7"/>
  <c r="I62" i="7"/>
  <c r="I63" i="7"/>
  <c r="I64" i="7"/>
  <c r="I65" i="7"/>
  <c r="I58" i="7"/>
  <c r="H59" i="7"/>
  <c r="H60" i="7"/>
  <c r="H61" i="7"/>
  <c r="H62" i="7"/>
  <c r="H63" i="7"/>
  <c r="H64" i="7"/>
  <c r="H65" i="7"/>
  <c r="H58" i="7"/>
  <c r="G64" i="7"/>
  <c r="G65" i="7"/>
  <c r="G63" i="7"/>
  <c r="G62" i="7"/>
  <c r="G59" i="7"/>
  <c r="G60" i="7"/>
  <c r="G61" i="7"/>
  <c r="G43" i="7"/>
  <c r="I45" i="7"/>
  <c r="I46" i="7"/>
  <c r="I48" i="7"/>
  <c r="I49" i="7"/>
  <c r="I50" i="7"/>
  <c r="I51" i="7"/>
  <c r="I52" i="7"/>
  <c r="I53" i="7"/>
  <c r="I54" i="7"/>
  <c r="H46" i="7"/>
  <c r="H47" i="7"/>
  <c r="H48" i="7"/>
  <c r="H49" i="7"/>
  <c r="H50" i="7"/>
  <c r="H51" i="7"/>
  <c r="H52" i="7"/>
  <c r="H54" i="7"/>
  <c r="H44" i="7"/>
  <c r="G48" i="7"/>
  <c r="G49" i="7"/>
  <c r="G50" i="7"/>
  <c r="G51" i="7"/>
  <c r="G52" i="7"/>
  <c r="G53" i="7"/>
  <c r="G54" i="7"/>
  <c r="G47" i="7"/>
  <c r="G46" i="7"/>
  <c r="G45" i="7"/>
  <c r="G44" i="7"/>
  <c r="C36" i="7"/>
  <c r="E34" i="7"/>
  <c r="E33" i="7"/>
  <c r="E32" i="7"/>
  <c r="E31" i="7"/>
  <c r="C26" i="7"/>
  <c r="E24" i="7"/>
  <c r="E23" i="7"/>
  <c r="E22" i="7"/>
  <c r="E21" i="7"/>
  <c r="E20" i="7"/>
  <c r="E19" i="7"/>
  <c r="E18" i="7"/>
  <c r="E9" i="7"/>
  <c r="E8" i="7"/>
  <c r="H44" i="8" l="1"/>
  <c r="I44" i="8"/>
  <c r="G45" i="8" s="1"/>
  <c r="G59" i="8"/>
  <c r="H59" i="8" s="1"/>
  <c r="I59" i="8" s="1"/>
  <c r="H30" i="8"/>
  <c r="I30" i="8" s="1"/>
  <c r="G31" i="8" s="1"/>
  <c r="G11" i="8"/>
  <c r="H11" i="8" s="1"/>
  <c r="H87" i="6"/>
  <c r="G75" i="6"/>
  <c r="G34" i="6"/>
  <c r="G32" i="6"/>
  <c r="H88" i="6"/>
  <c r="H89" i="6" s="1"/>
  <c r="H90" i="6" s="1"/>
  <c r="H91" i="6" s="1"/>
  <c r="H92" i="6" s="1"/>
  <c r="H93" i="6" s="1"/>
  <c r="H94" i="6" s="1"/>
  <c r="H95" i="6" s="1"/>
  <c r="H96" i="6" s="1"/>
  <c r="H45" i="8" l="1"/>
  <c r="I45" i="8" s="1"/>
  <c r="G46" i="8" s="1"/>
  <c r="G60" i="8"/>
  <c r="I60" i="8" s="1"/>
  <c r="H31" i="8"/>
  <c r="I31" i="8"/>
  <c r="G32" i="8" s="1"/>
  <c r="G12" i="8"/>
  <c r="H12" i="8" s="1"/>
  <c r="H74" i="6"/>
  <c r="H75" i="6" s="1"/>
  <c r="H76" i="6" s="1"/>
  <c r="H77" i="6" s="1"/>
  <c r="H78" i="6" s="1"/>
  <c r="H79" i="6" s="1"/>
  <c r="H80" i="6" s="1"/>
  <c r="H81" i="6" s="1"/>
  <c r="H82" i="6" s="1"/>
  <c r="H83" i="6" s="1"/>
  <c r="G74" i="6"/>
  <c r="G76" i="6" s="1"/>
  <c r="G77" i="6" s="1"/>
  <c r="G78" i="6" s="1"/>
  <c r="G79" i="6" s="1"/>
  <c r="G80" i="6" s="1"/>
  <c r="G81" i="6" s="1"/>
  <c r="G82" i="6" s="1"/>
  <c r="G83" i="6" s="1"/>
  <c r="H63" i="6"/>
  <c r="H64" i="6" s="1"/>
  <c r="H65" i="6" s="1"/>
  <c r="H66" i="6" s="1"/>
  <c r="H67" i="6" s="1"/>
  <c r="H68" i="6" s="1"/>
  <c r="H69" i="6" s="1"/>
  <c r="H70" i="6" s="1"/>
  <c r="H71" i="6" s="1"/>
  <c r="H62" i="6"/>
  <c r="G62" i="6"/>
  <c r="G63" i="6" s="1"/>
  <c r="G64" i="6" s="1"/>
  <c r="G65" i="6" s="1"/>
  <c r="G66" i="6" s="1"/>
  <c r="G67" i="6" s="1"/>
  <c r="G68" i="6" s="1"/>
  <c r="G69" i="6" s="1"/>
  <c r="G70" i="6" s="1"/>
  <c r="G71" i="6" s="1"/>
  <c r="H48" i="6"/>
  <c r="H49" i="6" s="1"/>
  <c r="H50" i="6" s="1"/>
  <c r="H51" i="6" s="1"/>
  <c r="H52" i="6" s="1"/>
  <c r="H53" i="6" s="1"/>
  <c r="H54" i="6" s="1"/>
  <c r="H55" i="6" s="1"/>
  <c r="H56" i="6" s="1"/>
  <c r="H57" i="6" s="1"/>
  <c r="G51" i="6"/>
  <c r="G54" i="6" s="1"/>
  <c r="G57" i="6" s="1"/>
  <c r="G50" i="6"/>
  <c r="G53" i="6" s="1"/>
  <c r="G56" i="6" s="1"/>
  <c r="G49" i="6"/>
  <c r="G52" i="6" s="1"/>
  <c r="G55" i="6" s="1"/>
  <c r="G48" i="6"/>
  <c r="H46" i="8" l="1"/>
  <c r="I46" i="8"/>
  <c r="G47" i="8" s="1"/>
  <c r="G61" i="8"/>
  <c r="H61" i="8" s="1"/>
  <c r="I61" i="8" s="1"/>
  <c r="H32" i="8"/>
  <c r="I32" i="8" s="1"/>
  <c r="G33" i="8" s="1"/>
  <c r="G13" i="8"/>
  <c r="H13" i="8" s="1"/>
  <c r="F41" i="6"/>
  <c r="F40" i="6"/>
  <c r="G33" i="6"/>
  <c r="G35" i="6"/>
  <c r="G36" i="6"/>
  <c r="G37" i="6"/>
  <c r="G38" i="6"/>
  <c r="G39" i="6"/>
  <c r="G40" i="6"/>
  <c r="G41" i="6"/>
  <c r="F33" i="6"/>
  <c r="F34" i="6"/>
  <c r="F35" i="6"/>
  <c r="F36" i="6"/>
  <c r="F37" i="6"/>
  <c r="F38" i="6"/>
  <c r="F39" i="6"/>
  <c r="G21" i="6"/>
  <c r="G22" i="6"/>
  <c r="G23" i="6"/>
  <c r="G24" i="6"/>
  <c r="G25" i="6"/>
  <c r="G26" i="6"/>
  <c r="G27" i="6"/>
  <c r="G28" i="6"/>
  <c r="G20" i="6"/>
  <c r="F21" i="6"/>
  <c r="F22" i="6"/>
  <c r="F23" i="6"/>
  <c r="F24" i="6"/>
  <c r="F25" i="6"/>
  <c r="F26" i="6"/>
  <c r="F27" i="6"/>
  <c r="F28" i="6"/>
  <c r="F20" i="6"/>
  <c r="G6" i="6"/>
  <c r="F6" i="6"/>
  <c r="F7" i="6"/>
  <c r="G7" i="6"/>
  <c r="F8" i="6"/>
  <c r="G8" i="6" s="1"/>
  <c r="F9" i="6"/>
  <c r="G9" i="6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G3" i="1"/>
  <c r="J3" i="1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29" i="4"/>
  <c r="P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28" i="4"/>
  <c r="N29" i="4"/>
  <c r="N30" i="4"/>
  <c r="N31" i="4"/>
  <c r="N32" i="4"/>
  <c r="N33" i="4"/>
  <c r="N34" i="4"/>
  <c r="N36" i="4"/>
  <c r="N37" i="4"/>
  <c r="N38" i="4"/>
  <c r="N39" i="4"/>
  <c r="N40" i="4"/>
  <c r="N41" i="4"/>
  <c r="N42" i="4"/>
  <c r="N28" i="4"/>
  <c r="N9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28" i="4"/>
  <c r="J29" i="4"/>
  <c r="J30" i="4"/>
  <c r="J31" i="4"/>
  <c r="J32" i="4"/>
  <c r="J33" i="4"/>
  <c r="J34" i="4"/>
  <c r="J35" i="4"/>
  <c r="N35" i="4" s="1"/>
  <c r="J36" i="4"/>
  <c r="J37" i="4"/>
  <c r="J38" i="4"/>
  <c r="J39" i="4"/>
  <c r="J40" i="4"/>
  <c r="J41" i="4"/>
  <c r="J42" i="4"/>
  <c r="J28" i="4"/>
  <c r="I29" i="4"/>
  <c r="I30" i="4"/>
  <c r="I31" i="4"/>
  <c r="I32" i="4"/>
  <c r="I33" i="4"/>
  <c r="I34" i="4"/>
  <c r="I36" i="4"/>
  <c r="I37" i="4"/>
  <c r="I38" i="4"/>
  <c r="I39" i="4"/>
  <c r="I40" i="4"/>
  <c r="I41" i="4"/>
  <c r="I42" i="4"/>
  <c r="I28" i="4"/>
  <c r="P11" i="4"/>
  <c r="P15" i="4"/>
  <c r="P16" i="4"/>
  <c r="P17" i="4"/>
  <c r="P18" i="4"/>
  <c r="P19" i="4"/>
  <c r="P20" i="4"/>
  <c r="P21" i="4"/>
  <c r="P22" i="4"/>
  <c r="P10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N11" i="4"/>
  <c r="N12" i="4"/>
  <c r="N13" i="4"/>
  <c r="N14" i="4"/>
  <c r="N15" i="4"/>
  <c r="N17" i="4"/>
  <c r="N18" i="4"/>
  <c r="N20" i="4"/>
  <c r="N21" i="4"/>
  <c r="N22" i="4"/>
  <c r="N23" i="4"/>
  <c r="N10" i="4"/>
  <c r="M11" i="4"/>
  <c r="M12" i="4"/>
  <c r="M13" i="4"/>
  <c r="M14" i="4"/>
  <c r="M15" i="4"/>
  <c r="M16" i="4"/>
  <c r="M17" i="4"/>
  <c r="M19" i="4"/>
  <c r="M20" i="4"/>
  <c r="M21" i="4"/>
  <c r="M22" i="4"/>
  <c r="M23" i="4"/>
  <c r="M10" i="4"/>
  <c r="L11" i="4"/>
  <c r="L12" i="4"/>
  <c r="L14" i="4"/>
  <c r="L15" i="4"/>
  <c r="L16" i="4"/>
  <c r="L17" i="4"/>
  <c r="L18" i="4"/>
  <c r="L20" i="4"/>
  <c r="L21" i="4"/>
  <c r="L22" i="4"/>
  <c r="L23" i="4"/>
  <c r="L10" i="4"/>
  <c r="K11" i="4"/>
  <c r="K12" i="4"/>
  <c r="K13" i="4"/>
  <c r="K15" i="4"/>
  <c r="K16" i="4"/>
  <c r="K17" i="4"/>
  <c r="K18" i="4"/>
  <c r="K20" i="4"/>
  <c r="K22" i="4"/>
  <c r="K23" i="4"/>
  <c r="K10" i="4"/>
  <c r="J11" i="4"/>
  <c r="J12" i="4"/>
  <c r="J13" i="4"/>
  <c r="J14" i="4"/>
  <c r="J15" i="4"/>
  <c r="J16" i="4"/>
  <c r="N16" i="4" s="1"/>
  <c r="J18" i="4"/>
  <c r="N19" i="4"/>
  <c r="J20" i="4"/>
  <c r="J21" i="4"/>
  <c r="J22" i="4"/>
  <c r="J23" i="4"/>
  <c r="I10" i="4"/>
  <c r="I11" i="4"/>
  <c r="I12" i="4"/>
  <c r="I13" i="4"/>
  <c r="I14" i="4"/>
  <c r="I15" i="4"/>
  <c r="I17" i="4"/>
  <c r="I18" i="4"/>
  <c r="I20" i="4"/>
  <c r="I21" i="4"/>
  <c r="I22" i="4"/>
  <c r="I23" i="4"/>
  <c r="I9" i="4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56" i="3"/>
  <c r="AO34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56" i="3"/>
  <c r="AM34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56" i="3"/>
  <c r="AG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34" i="3"/>
  <c r="AG27" i="3"/>
  <c r="AG28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34" i="3"/>
  <c r="AG35" i="3"/>
  <c r="AK35" i="3" s="1"/>
  <c r="AM35" i="3" s="1"/>
  <c r="AG36" i="3"/>
  <c r="AK36" i="3" s="1"/>
  <c r="AM36" i="3" s="1"/>
  <c r="AG37" i="3"/>
  <c r="AK37" i="3" s="1"/>
  <c r="AM37" i="3" s="1"/>
  <c r="AG38" i="3"/>
  <c r="AK38" i="3" s="1"/>
  <c r="AM38" i="3" s="1"/>
  <c r="AG39" i="3"/>
  <c r="AK39" i="3" s="1"/>
  <c r="AM39" i="3" s="1"/>
  <c r="AG40" i="3"/>
  <c r="AK40" i="3" s="1"/>
  <c r="AM40" i="3" s="1"/>
  <c r="AG41" i="3"/>
  <c r="AK41" i="3" s="1"/>
  <c r="AM41" i="3" s="1"/>
  <c r="AG42" i="3"/>
  <c r="AK42" i="3" s="1"/>
  <c r="AM42" i="3" s="1"/>
  <c r="AG43" i="3"/>
  <c r="AK43" i="3" s="1"/>
  <c r="AM43" i="3" s="1"/>
  <c r="AG44" i="3"/>
  <c r="AK44" i="3" s="1"/>
  <c r="AM44" i="3" s="1"/>
  <c r="AG45" i="3"/>
  <c r="AK45" i="3" s="1"/>
  <c r="AM45" i="3" s="1"/>
  <c r="AG46" i="3"/>
  <c r="AK46" i="3" s="1"/>
  <c r="AM46" i="3" s="1"/>
  <c r="AG47" i="3"/>
  <c r="AK47" i="3" s="1"/>
  <c r="AM47" i="3" s="1"/>
  <c r="AG48" i="3"/>
  <c r="AK48" i="3" s="1"/>
  <c r="AM48" i="3" s="1"/>
  <c r="AG49" i="3"/>
  <c r="AK49" i="3" s="1"/>
  <c r="AM49" i="3" s="1"/>
  <c r="AG50" i="3"/>
  <c r="AK50" i="3" s="1"/>
  <c r="AM50" i="3" s="1"/>
  <c r="AG51" i="3"/>
  <c r="AK51" i="3" s="1"/>
  <c r="AM51" i="3" s="1"/>
  <c r="AG52" i="3"/>
  <c r="AK52" i="3" s="1"/>
  <c r="AM52" i="3" s="1"/>
  <c r="AG53" i="3"/>
  <c r="AK53" i="3" s="1"/>
  <c r="AM53" i="3" s="1"/>
  <c r="AK34" i="3"/>
  <c r="H47" i="8" l="1"/>
  <c r="I47" i="8"/>
  <c r="G62" i="8"/>
  <c r="H62" i="8" s="1"/>
  <c r="I62" i="8" s="1"/>
  <c r="H33" i="8"/>
  <c r="I33" i="8" s="1"/>
  <c r="G34" i="8" s="1"/>
  <c r="G14" i="8"/>
  <c r="H14" i="8" s="1"/>
  <c r="I14" i="8" s="1"/>
  <c r="AN53" i="3"/>
  <c r="AO53" i="3" s="1"/>
  <c r="AN52" i="3"/>
  <c r="AO52" i="3" s="1"/>
  <c r="AN51" i="3"/>
  <c r="AO51" i="3"/>
  <c r="AN50" i="3"/>
  <c r="AO50" i="3"/>
  <c r="AN46" i="3"/>
  <c r="AO46" i="3"/>
  <c r="AN42" i="3"/>
  <c r="AO42" i="3"/>
  <c r="AN38" i="3"/>
  <c r="AO38" i="3"/>
  <c r="AN43" i="3"/>
  <c r="AO43" i="3"/>
  <c r="AN49" i="3"/>
  <c r="AO49" i="3" s="1"/>
  <c r="AN45" i="3"/>
  <c r="AO45" i="3" s="1"/>
  <c r="AN41" i="3"/>
  <c r="AO41" i="3" s="1"/>
  <c r="AN37" i="3"/>
  <c r="AO37" i="3" s="1"/>
  <c r="AN39" i="3"/>
  <c r="AO39" i="3"/>
  <c r="AN48" i="3"/>
  <c r="AO48" i="3"/>
  <c r="AN44" i="3"/>
  <c r="AO44" i="3"/>
  <c r="AN40" i="3"/>
  <c r="AO40" i="3"/>
  <c r="AN36" i="3"/>
  <c r="AO36" i="3"/>
  <c r="AN35" i="3"/>
  <c r="AO35" i="3"/>
  <c r="AN47" i="3"/>
  <c r="AO4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K21" i="3" s="1"/>
  <c r="AM21" i="3" s="1"/>
  <c r="AI22" i="3"/>
  <c r="AI23" i="3"/>
  <c r="AI24" i="3"/>
  <c r="AI25" i="3"/>
  <c r="AI26" i="3"/>
  <c r="AI27" i="3"/>
  <c r="AI28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J7" i="3"/>
  <c r="AI7" i="3"/>
  <c r="AH7" i="3"/>
  <c r="G75" i="2"/>
  <c r="G83" i="2"/>
  <c r="F72" i="2"/>
  <c r="H72" i="2" s="1"/>
  <c r="F73" i="2"/>
  <c r="H73" i="2" s="1"/>
  <c r="F74" i="2"/>
  <c r="H74" i="2" s="1"/>
  <c r="F75" i="2"/>
  <c r="H75" i="2" s="1"/>
  <c r="F76" i="2"/>
  <c r="H76" i="2" s="1"/>
  <c r="F77" i="2"/>
  <c r="G77" i="2" s="1"/>
  <c r="F78" i="2"/>
  <c r="H78" i="2" s="1"/>
  <c r="F79" i="2"/>
  <c r="H79" i="2" s="1"/>
  <c r="F80" i="2"/>
  <c r="H80" i="2" s="1"/>
  <c r="F81" i="2"/>
  <c r="G81" i="2" s="1"/>
  <c r="F82" i="2"/>
  <c r="H82" i="2" s="1"/>
  <c r="F83" i="2"/>
  <c r="H83" i="2" s="1"/>
  <c r="F84" i="2"/>
  <c r="H84" i="2" s="1"/>
  <c r="F85" i="2"/>
  <c r="G85" i="2" s="1"/>
  <c r="F86" i="2"/>
  <c r="H86" i="2" s="1"/>
  <c r="F87" i="2"/>
  <c r="H87" i="2" s="1"/>
  <c r="F88" i="2"/>
  <c r="H88" i="2" s="1"/>
  <c r="F89" i="2"/>
  <c r="G89" i="2" s="1"/>
  <c r="F90" i="2"/>
  <c r="H90" i="2" s="1"/>
  <c r="F71" i="2"/>
  <c r="H71" i="2" s="1"/>
  <c r="G32" i="2"/>
  <c r="F32" i="2"/>
  <c r="F50" i="2"/>
  <c r="G50" i="2" s="1"/>
  <c r="F51" i="2"/>
  <c r="H51" i="2" s="1"/>
  <c r="F52" i="2"/>
  <c r="F53" i="2"/>
  <c r="H53" i="2" s="1"/>
  <c r="F54" i="2"/>
  <c r="H54" i="2" s="1"/>
  <c r="F55" i="2"/>
  <c r="F56" i="2"/>
  <c r="F57" i="2"/>
  <c r="G57" i="2" s="1"/>
  <c r="F58" i="2"/>
  <c r="G58" i="2" s="1"/>
  <c r="F59" i="2"/>
  <c r="H59" i="2" s="1"/>
  <c r="F60" i="2"/>
  <c r="F61" i="2"/>
  <c r="H61" i="2" s="1"/>
  <c r="F62" i="2"/>
  <c r="H62" i="2" s="1"/>
  <c r="F63" i="2"/>
  <c r="H63" i="2" s="1"/>
  <c r="F64" i="2"/>
  <c r="F65" i="2"/>
  <c r="G65" i="2" s="1"/>
  <c r="F66" i="2"/>
  <c r="G66" i="2" s="1"/>
  <c r="F67" i="2"/>
  <c r="F68" i="2"/>
  <c r="F33" i="2"/>
  <c r="F49" i="2"/>
  <c r="H49" i="2" s="1"/>
  <c r="I61" i="2" l="1"/>
  <c r="I53" i="2"/>
  <c r="G62" i="2"/>
  <c r="G54" i="2"/>
  <c r="I66" i="2"/>
  <c r="I58" i="2"/>
  <c r="H50" i="2"/>
  <c r="I50" i="2" s="1"/>
  <c r="I84" i="2"/>
  <c r="I80" i="2"/>
  <c r="G86" i="2"/>
  <c r="G80" i="2"/>
  <c r="G49" i="2"/>
  <c r="I49" i="2" s="1"/>
  <c r="G61" i="2"/>
  <c r="G53" i="2"/>
  <c r="H65" i="2"/>
  <c r="H57" i="2"/>
  <c r="I57" i="2" s="1"/>
  <c r="I87" i="2"/>
  <c r="I83" i="2"/>
  <c r="I75" i="2"/>
  <c r="G90" i="2"/>
  <c r="G84" i="2"/>
  <c r="G79" i="2"/>
  <c r="I79" i="2" s="1"/>
  <c r="I90" i="2"/>
  <c r="I86" i="2"/>
  <c r="I78" i="2"/>
  <c r="G88" i="2"/>
  <c r="I88" i="2" s="1"/>
  <c r="G78" i="2"/>
  <c r="G87" i="2"/>
  <c r="G82" i="2"/>
  <c r="I82" i="2" s="1"/>
  <c r="G76" i="2"/>
  <c r="I76" i="2" s="1"/>
  <c r="I67" i="2"/>
  <c r="H68" i="2"/>
  <c r="G68" i="2"/>
  <c r="H64" i="2"/>
  <c r="I64" i="2" s="1"/>
  <c r="G64" i="2"/>
  <c r="H60" i="2"/>
  <c r="G60" i="2"/>
  <c r="H56" i="2"/>
  <c r="I56" i="2" s="1"/>
  <c r="G56" i="2"/>
  <c r="H52" i="2"/>
  <c r="G52" i="2"/>
  <c r="I71" i="2"/>
  <c r="I62" i="2"/>
  <c r="I54" i="2"/>
  <c r="G73" i="2"/>
  <c r="I73" i="2" s="1"/>
  <c r="H89" i="2"/>
  <c r="I89" i="2" s="1"/>
  <c r="H85" i="2"/>
  <c r="I85" i="2" s="1"/>
  <c r="H81" i="2"/>
  <c r="I81" i="2" s="1"/>
  <c r="H77" i="2"/>
  <c r="I77" i="2" s="1"/>
  <c r="G72" i="2"/>
  <c r="I72" i="2" s="1"/>
  <c r="G71" i="2"/>
  <c r="G67" i="2"/>
  <c r="I63" i="2"/>
  <c r="G59" i="2"/>
  <c r="I59" i="2" s="1"/>
  <c r="G51" i="2"/>
  <c r="I51" i="2" s="1"/>
  <c r="G74" i="2"/>
  <c r="I74" i="2" s="1"/>
  <c r="G63" i="8"/>
  <c r="H63" i="8" s="1"/>
  <c r="I63" i="8"/>
  <c r="H34" i="8"/>
  <c r="I34" i="8"/>
  <c r="G15" i="8"/>
  <c r="H15" i="8" s="1"/>
  <c r="AK28" i="3"/>
  <c r="AM28" i="3" s="1"/>
  <c r="AK26" i="3"/>
  <c r="AM26" i="3" s="1"/>
  <c r="AK22" i="3"/>
  <c r="AM22" i="3" s="1"/>
  <c r="AK14" i="3"/>
  <c r="AM14" i="3" s="1"/>
  <c r="AK25" i="3"/>
  <c r="AM25" i="3" s="1"/>
  <c r="AN25" i="3" s="1"/>
  <c r="AO25" i="3" s="1"/>
  <c r="AK24" i="3"/>
  <c r="AM24" i="3" s="1"/>
  <c r="AN24" i="3" s="1"/>
  <c r="AO24" i="3" s="1"/>
  <c r="AK20" i="3"/>
  <c r="AM20" i="3" s="1"/>
  <c r="AN20" i="3" s="1"/>
  <c r="AO20" i="3" s="1"/>
  <c r="AK7" i="3"/>
  <c r="AM7" i="3" s="1"/>
  <c r="AN7" i="3" s="1"/>
  <c r="AO7" i="3" s="1"/>
  <c r="AK16" i="3"/>
  <c r="AM16" i="3" s="1"/>
  <c r="AN16" i="3" s="1"/>
  <c r="AO16" i="3" s="1"/>
  <c r="AK12" i="3"/>
  <c r="AM12" i="3" s="1"/>
  <c r="AN12" i="3" s="1"/>
  <c r="AO12" i="3" s="1"/>
  <c r="AK8" i="3"/>
  <c r="AM8" i="3" s="1"/>
  <c r="AN8" i="3" s="1"/>
  <c r="AK10" i="3"/>
  <c r="AM10" i="3" s="1"/>
  <c r="AN10" i="3" s="1"/>
  <c r="AO10" i="3" s="1"/>
  <c r="AK27" i="3"/>
  <c r="AM27" i="3" s="1"/>
  <c r="AK23" i="3"/>
  <c r="AM23" i="3" s="1"/>
  <c r="AN23" i="3" s="1"/>
  <c r="AO23" i="3" s="1"/>
  <c r="AK19" i="3"/>
  <c r="AM19" i="3" s="1"/>
  <c r="AK15" i="3"/>
  <c r="AM15" i="3" s="1"/>
  <c r="AN15" i="3" s="1"/>
  <c r="AK11" i="3"/>
  <c r="AM11" i="3" s="1"/>
  <c r="AN11" i="3" s="1"/>
  <c r="AO11" i="3" s="1"/>
  <c r="AK17" i="3"/>
  <c r="AM17" i="3" s="1"/>
  <c r="AN17" i="3" s="1"/>
  <c r="AO17" i="3" s="1"/>
  <c r="AK13" i="3"/>
  <c r="AM13" i="3" s="1"/>
  <c r="AN13" i="3" s="1"/>
  <c r="AO13" i="3" s="1"/>
  <c r="AK9" i="3"/>
  <c r="AM9" i="3" s="1"/>
  <c r="AN9" i="3" s="1"/>
  <c r="AN26" i="3"/>
  <c r="AO26" i="3" s="1"/>
  <c r="AN22" i="3"/>
  <c r="AO22" i="3" s="1"/>
  <c r="AN14" i="3"/>
  <c r="AO14" i="3" s="1"/>
  <c r="AN21" i="3"/>
  <c r="AO21" i="3" s="1"/>
  <c r="AN28" i="3"/>
  <c r="AO28" i="3"/>
  <c r="AN27" i="3"/>
  <c r="AO27" i="3" s="1"/>
  <c r="AN19" i="3"/>
  <c r="AO19" i="3" s="1"/>
  <c r="AK18" i="3"/>
  <c r="AM18" i="3" s="1"/>
  <c r="AN18" i="3" s="1"/>
  <c r="H33" i="2"/>
  <c r="I33" i="2" s="1"/>
  <c r="H34" i="2"/>
  <c r="I34" i="2" s="1"/>
  <c r="H42" i="2"/>
  <c r="I42" i="2" s="1"/>
  <c r="H32" i="2"/>
  <c r="I32" i="2" s="1"/>
  <c r="G33" i="2"/>
  <c r="F34" i="2"/>
  <c r="G34" i="2" s="1"/>
  <c r="F35" i="2"/>
  <c r="H35" i="2" s="1"/>
  <c r="F36" i="2"/>
  <c r="H36" i="2" s="1"/>
  <c r="F37" i="2"/>
  <c r="H37" i="2" s="1"/>
  <c r="F38" i="2"/>
  <c r="G38" i="2" s="1"/>
  <c r="F39" i="2"/>
  <c r="H39" i="2" s="1"/>
  <c r="F40" i="2"/>
  <c r="H40" i="2" s="1"/>
  <c r="F41" i="2"/>
  <c r="G41" i="2" s="1"/>
  <c r="F42" i="2"/>
  <c r="G42" i="2" s="1"/>
  <c r="F43" i="2"/>
  <c r="H43" i="2" s="1"/>
  <c r="F44" i="2"/>
  <c r="H44" i="2" s="1"/>
  <c r="F45" i="2"/>
  <c r="H45" i="2" s="1"/>
  <c r="F46" i="2"/>
  <c r="G46" i="2" s="1"/>
  <c r="F9" i="2"/>
  <c r="G37" i="2" l="1"/>
  <c r="I37" i="2" s="1"/>
  <c r="I44" i="2"/>
  <c r="G44" i="2"/>
  <c r="G40" i="2"/>
  <c r="I40" i="2" s="1"/>
  <c r="G45" i="2"/>
  <c r="I45" i="2" s="1"/>
  <c r="I36" i="2"/>
  <c r="H41" i="2"/>
  <c r="I41" i="2" s="1"/>
  <c r="H38" i="2"/>
  <c r="I38" i="2" s="1"/>
  <c r="I60" i="2"/>
  <c r="I68" i="2"/>
  <c r="G43" i="2"/>
  <c r="I43" i="2" s="1"/>
  <c r="G39" i="2"/>
  <c r="I39" i="2" s="1"/>
  <c r="G35" i="2"/>
  <c r="I35" i="2" s="1"/>
  <c r="H46" i="2"/>
  <c r="I46" i="2" s="1"/>
  <c r="G64" i="8"/>
  <c r="H64" i="8" s="1"/>
  <c r="I64" i="8" s="1"/>
  <c r="G16" i="8"/>
  <c r="I16" i="8" s="1"/>
  <c r="AO9" i="3"/>
  <c r="AO8" i="3"/>
  <c r="AO15" i="3"/>
  <c r="AO18" i="3"/>
  <c r="H9" i="2"/>
  <c r="I9" i="2" s="1"/>
  <c r="H12" i="2"/>
  <c r="H16" i="2"/>
  <c r="H20" i="2"/>
  <c r="H24" i="2"/>
  <c r="H28" i="2"/>
  <c r="I28" i="2" s="1"/>
  <c r="G12" i="2"/>
  <c r="G20" i="2"/>
  <c r="G24" i="2"/>
  <c r="G25" i="2"/>
  <c r="G28" i="2"/>
  <c r="F10" i="2"/>
  <c r="G10" i="2" s="1"/>
  <c r="F11" i="2"/>
  <c r="G11" i="2" s="1"/>
  <c r="F12" i="2"/>
  <c r="F13" i="2"/>
  <c r="F14" i="2"/>
  <c r="G14" i="2" s="1"/>
  <c r="F15" i="2"/>
  <c r="H15" i="2" s="1"/>
  <c r="F16" i="2"/>
  <c r="G16" i="2" s="1"/>
  <c r="F17" i="2"/>
  <c r="H17" i="2" s="1"/>
  <c r="F18" i="2"/>
  <c r="G18" i="2" s="1"/>
  <c r="F19" i="2"/>
  <c r="H19" i="2" s="1"/>
  <c r="F20" i="2"/>
  <c r="F21" i="2"/>
  <c r="H21" i="2" s="1"/>
  <c r="F22" i="2"/>
  <c r="G22" i="2" s="1"/>
  <c r="F23" i="2"/>
  <c r="H23" i="2" s="1"/>
  <c r="F24" i="2"/>
  <c r="F25" i="2"/>
  <c r="H25" i="2" s="1"/>
  <c r="F26" i="2"/>
  <c r="G26" i="2" s="1"/>
  <c r="F27" i="2"/>
  <c r="G27" i="2" s="1"/>
  <c r="F28" i="2"/>
  <c r="I65" i="1"/>
  <c r="J65" i="1" s="1"/>
  <c r="J66" i="1"/>
  <c r="J68" i="1"/>
  <c r="J70" i="1"/>
  <c r="J72" i="1"/>
  <c r="J74" i="1"/>
  <c r="J76" i="1"/>
  <c r="J78" i="1"/>
  <c r="J80" i="1"/>
  <c r="J83" i="1"/>
  <c r="I66" i="1"/>
  <c r="I67" i="1"/>
  <c r="J67" i="1" s="1"/>
  <c r="I68" i="1"/>
  <c r="I69" i="1"/>
  <c r="J69" i="1" s="1"/>
  <c r="I70" i="1"/>
  <c r="I71" i="1"/>
  <c r="J71" i="1" s="1"/>
  <c r="I72" i="1"/>
  <c r="I73" i="1"/>
  <c r="J73" i="1" s="1"/>
  <c r="I74" i="1"/>
  <c r="I75" i="1"/>
  <c r="J75" i="1" s="1"/>
  <c r="I76" i="1"/>
  <c r="I77" i="1"/>
  <c r="J77" i="1" s="1"/>
  <c r="I78" i="1"/>
  <c r="I79" i="1"/>
  <c r="J79" i="1" s="1"/>
  <c r="I80" i="1"/>
  <c r="I81" i="1"/>
  <c r="J81" i="1" s="1"/>
  <c r="I82" i="1"/>
  <c r="J82" i="1" s="1"/>
  <c r="I83" i="1"/>
  <c r="I84" i="1"/>
  <c r="J84" i="1" s="1"/>
  <c r="I85" i="1"/>
  <c r="I86" i="1"/>
  <c r="J86" i="1" s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I15" i="2" l="1"/>
  <c r="G19" i="2"/>
  <c r="I19" i="2" s="1"/>
  <c r="H27" i="2"/>
  <c r="I27" i="2" s="1"/>
  <c r="H11" i="2"/>
  <c r="I20" i="2"/>
  <c r="I25" i="2"/>
  <c r="I17" i="2"/>
  <c r="I13" i="2"/>
  <c r="G23" i="2"/>
  <c r="I23" i="2" s="1"/>
  <c r="G17" i="2"/>
  <c r="I24" i="2"/>
  <c r="I16" i="2"/>
  <c r="G15" i="2"/>
  <c r="I21" i="2"/>
  <c r="H26" i="2"/>
  <c r="I26" i="2" s="1"/>
  <c r="H22" i="2"/>
  <c r="I22" i="2" s="1"/>
  <c r="H18" i="2"/>
  <c r="I18" i="2" s="1"/>
  <c r="I14" i="2"/>
  <c r="H10" i="2"/>
  <c r="I10" i="2" s="1"/>
  <c r="G65" i="8"/>
  <c r="H65" i="8" s="1"/>
  <c r="I65" i="8"/>
  <c r="G17" i="8"/>
  <c r="H17" i="8" s="1"/>
  <c r="I17" i="8" s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35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G40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3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  <c r="I5" i="1"/>
  <c r="I6" i="1"/>
  <c r="I7" i="1"/>
  <c r="I8" i="1"/>
  <c r="I9" i="1"/>
  <c r="I3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4" i="1"/>
  <c r="G22" i="1"/>
  <c r="G12" i="1"/>
  <c r="G13" i="1"/>
  <c r="G14" i="1"/>
  <c r="G15" i="1"/>
  <c r="G16" i="1"/>
  <c r="G17" i="1"/>
  <c r="G18" i="1"/>
  <c r="G19" i="1"/>
  <c r="G20" i="1"/>
  <c r="G21" i="1"/>
  <c r="G5" i="1"/>
  <c r="G6" i="1"/>
  <c r="G7" i="1"/>
  <c r="G8" i="1"/>
  <c r="G9" i="1"/>
  <c r="G10" i="1"/>
  <c r="G11" i="1"/>
  <c r="G18" i="8" l="1"/>
  <c r="H18" i="8" s="1"/>
  <c r="I18" i="8" s="1"/>
  <c r="G19" i="8" l="1"/>
  <c r="H19" i="8" s="1"/>
  <c r="I19" i="8" s="1"/>
</calcChain>
</file>

<file path=xl/sharedStrings.xml><?xml version="1.0" encoding="utf-8"?>
<sst xmlns="http://schemas.openxmlformats.org/spreadsheetml/2006/main" count="3079" uniqueCount="263">
  <si>
    <t>A</t>
  </si>
  <si>
    <t>B</t>
  </si>
  <si>
    <t>C</t>
  </si>
  <si>
    <t>D</t>
  </si>
  <si>
    <t>E</t>
  </si>
  <si>
    <t>A+B</t>
  </si>
  <si>
    <t>B-A</t>
  </si>
  <si>
    <t>C*D</t>
  </si>
  <si>
    <t>D/E</t>
  </si>
  <si>
    <t>SL.NO</t>
  </si>
  <si>
    <t>0-50</t>
  </si>
  <si>
    <t>50-100</t>
  </si>
  <si>
    <t>100-150</t>
  </si>
  <si>
    <t>150-200</t>
  </si>
  <si>
    <t>200-250</t>
  </si>
  <si>
    <t>SALARY REPORT</t>
  </si>
  <si>
    <t>EMPLOYEE NAME</t>
  </si>
  <si>
    <t>DIGSSINATION</t>
  </si>
  <si>
    <t>BASIC SALARY</t>
  </si>
  <si>
    <t>D.A(24%)</t>
  </si>
  <si>
    <t>T.A(18%)</t>
  </si>
  <si>
    <t>H.R.A(50%)</t>
  </si>
  <si>
    <t>M..(45%)</t>
  </si>
  <si>
    <t>GROSS SALARY</t>
  </si>
  <si>
    <t>P.F(10%)</t>
  </si>
  <si>
    <t>NET SALARY</t>
  </si>
  <si>
    <t>RAHUL</t>
  </si>
  <si>
    <t>ROHIT</t>
  </si>
  <si>
    <t>PRAJWAL</t>
  </si>
  <si>
    <t>RAMESH</t>
  </si>
  <si>
    <t>IRFAN</t>
  </si>
  <si>
    <t>IMRAN</t>
  </si>
  <si>
    <t>SAIF</t>
  </si>
  <si>
    <t>ALI</t>
  </si>
  <si>
    <t>AFSAR</t>
  </si>
  <si>
    <t>AFROZ</t>
  </si>
  <si>
    <t>ZAIN</t>
  </si>
  <si>
    <t>ZAID</t>
  </si>
  <si>
    <t>MOIN</t>
  </si>
  <si>
    <t>KASHIF</t>
  </si>
  <si>
    <t>ATEEF</t>
  </si>
  <si>
    <t>AZEEM</t>
  </si>
  <si>
    <t>SUFIYAN</t>
  </si>
  <si>
    <t>MANSOOR</t>
  </si>
  <si>
    <t>ADARSH</t>
  </si>
  <si>
    <t>KARTHIK</t>
  </si>
  <si>
    <t>HARSHA</t>
  </si>
  <si>
    <t>UJWAL</t>
  </si>
  <si>
    <t>BRANCH MANAGER</t>
  </si>
  <si>
    <t>SENIOR ACCOUNT</t>
  </si>
  <si>
    <t>SALES EXECUTIVE</t>
  </si>
  <si>
    <t>HR EXECUTIVE</t>
  </si>
  <si>
    <t>OFFIE CLERK</t>
  </si>
  <si>
    <t>WAREHOUSE SUPERVISOR</t>
  </si>
  <si>
    <t>IT SUPPORT ENGINEER</t>
  </si>
  <si>
    <t>MARKETINF EXEUTIVE</t>
  </si>
  <si>
    <t>OPERATION MANGER</t>
  </si>
  <si>
    <t>SOFTWARE ENGINEER</t>
  </si>
  <si>
    <t>NALYST</t>
  </si>
  <si>
    <t>QUALITY INSPECTOR</t>
  </si>
  <si>
    <t>PROCUREMENT OFFICER</t>
  </si>
  <si>
    <t>CUSTOMER SUPPORT LEAD</t>
  </si>
  <si>
    <t>CIVIL ENGINEER</t>
  </si>
  <si>
    <t>INVOICE.NO</t>
  </si>
  <si>
    <t>FRUIT NAMES</t>
  </si>
  <si>
    <t>QUANTITY</t>
  </si>
  <si>
    <t>CGST 17%</t>
  </si>
  <si>
    <t>TOTAL AMOUNT</t>
  </si>
  <si>
    <t>APPLE</t>
  </si>
  <si>
    <t>BANANA</t>
  </si>
  <si>
    <t>GRAPES</t>
  </si>
  <si>
    <t>WATER MELON</t>
  </si>
  <si>
    <t>MANGO</t>
  </si>
  <si>
    <t>STRAWBERRY</t>
  </si>
  <si>
    <t>ORANGE</t>
  </si>
  <si>
    <t>KIWI</t>
  </si>
  <si>
    <t>LICHI</t>
  </si>
  <si>
    <t>GOA</t>
  </si>
  <si>
    <t>RATE</t>
  </si>
  <si>
    <t>AMOUNT</t>
  </si>
  <si>
    <t>SGST 19%</t>
  </si>
  <si>
    <t>INVOICE .NO</t>
  </si>
  <si>
    <t>PAPAYA</t>
  </si>
  <si>
    <t>JACKFRUIRT</t>
  </si>
  <si>
    <t>PEACH</t>
  </si>
  <si>
    <t>PINEAPPLE</t>
  </si>
  <si>
    <t>PEAR</t>
  </si>
  <si>
    <t xml:space="preserve"> AMOUNT</t>
  </si>
  <si>
    <t>ATTENDANCE</t>
  </si>
  <si>
    <t>NAME</t>
  </si>
  <si>
    <t>TUE</t>
  </si>
  <si>
    <t>WED</t>
  </si>
  <si>
    <t>THU</t>
  </si>
  <si>
    <t>FRI</t>
  </si>
  <si>
    <t>SAT</t>
  </si>
  <si>
    <t>SUN</t>
  </si>
  <si>
    <t>MON</t>
  </si>
  <si>
    <t>H</t>
  </si>
  <si>
    <t>P</t>
  </si>
  <si>
    <t>L</t>
  </si>
  <si>
    <t>PRESENT</t>
  </si>
  <si>
    <t>ABSENT</t>
  </si>
  <si>
    <t>LEAVE</t>
  </si>
  <si>
    <t>HOLIDAY</t>
  </si>
  <si>
    <t>P+L+H</t>
  </si>
  <si>
    <t>PER DAY</t>
  </si>
  <si>
    <t xml:space="preserve">GS </t>
  </si>
  <si>
    <t>PF12%</t>
  </si>
  <si>
    <t>NAMES</t>
  </si>
  <si>
    <t>KAVYA</t>
  </si>
  <si>
    <t>LAVANYA</t>
  </si>
  <si>
    <t>CHAITHANYA</t>
  </si>
  <si>
    <t>SHARANYA</t>
  </si>
  <si>
    <t>ROHITH</t>
  </si>
  <si>
    <t>VIRAT</t>
  </si>
  <si>
    <t>MADAM\N</t>
  </si>
  <si>
    <t>KHAMAR</t>
  </si>
  <si>
    <t>KEERTHI</t>
  </si>
  <si>
    <t>KOKATI</t>
  </si>
  <si>
    <t>SEHER</t>
  </si>
  <si>
    <t>IRFANA</t>
  </si>
  <si>
    <t>CHAITRA</t>
  </si>
  <si>
    <t>KEERTHANA</t>
  </si>
  <si>
    <t>PRATHIBHA</t>
  </si>
  <si>
    <t>PALLAVI</t>
  </si>
  <si>
    <t>PARI</t>
  </si>
  <si>
    <t>LLEAVE</t>
  </si>
  <si>
    <t>GS</t>
  </si>
  <si>
    <t>PF 15%</t>
  </si>
  <si>
    <t>PF 20%</t>
  </si>
  <si>
    <t>RESULT SHEET</t>
  </si>
  <si>
    <t>STUDENT NAMES</t>
  </si>
  <si>
    <t>KANNADA</t>
  </si>
  <si>
    <t>ENGLISH</t>
  </si>
  <si>
    <t>HINDI</t>
  </si>
  <si>
    <t>MATHS</t>
  </si>
  <si>
    <t>SCIENCE</t>
  </si>
  <si>
    <t>SOCIAL SCIENCE</t>
  </si>
  <si>
    <t>TOTAL MARKS</t>
  </si>
  <si>
    <t>PERCENTAGE</t>
  </si>
  <si>
    <t>MINIMUM</t>
  </si>
  <si>
    <t>MAXIMUM</t>
  </si>
  <si>
    <t>AVERAGE</t>
  </si>
  <si>
    <t>MADAM</t>
  </si>
  <si>
    <t>GRADE</t>
  </si>
  <si>
    <t>PF</t>
  </si>
  <si>
    <t>RANK</t>
  </si>
  <si>
    <t>STUDENTS NAME</t>
  </si>
  <si>
    <t>MINIMU</t>
  </si>
  <si>
    <t>PIE CHART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</si>
  <si>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</si>
  <si>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</si>
  <si>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</si>
  <si>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</si>
  <si>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</si>
  <si>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</si>
  <si>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</si>
  <si>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</si>
  <si>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</si>
  <si>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</si>
  <si>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</si>
  <si>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</si>
  <si>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</si>
  <si>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</si>
  <si>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</si>
  <si>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</si>
  <si>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</si>
  <si>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</si>
  <si>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</si>
  <si>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</si>
  <si>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</si>
  <si>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</si>
  <si>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MARKS</t>
  </si>
  <si>
    <t>V.LOOKUP</t>
  </si>
  <si>
    <t>SALARY</t>
  </si>
  <si>
    <t>H-LOOKUP</t>
  </si>
  <si>
    <t>SUMA</t>
  </si>
  <si>
    <t>VEENA</t>
  </si>
  <si>
    <t>MAHESH</t>
  </si>
  <si>
    <t>SURESH</t>
  </si>
  <si>
    <t>SWEHER</t>
  </si>
  <si>
    <t>IMAN</t>
  </si>
  <si>
    <t xml:space="preserve"> TARA</t>
  </si>
  <si>
    <t>PP</t>
  </si>
  <si>
    <t>KITKAT</t>
  </si>
  <si>
    <t>SINCKERS</t>
  </si>
  <si>
    <t>5 STAR</t>
  </si>
  <si>
    <t>MUNCH</t>
  </si>
  <si>
    <t>MILKYBAR</t>
  </si>
  <si>
    <t>KINDER JOY</t>
  </si>
  <si>
    <t>DARK CHOCLATE</t>
  </si>
  <si>
    <t>8 PCS</t>
  </si>
  <si>
    <t>5 PCS</t>
  </si>
  <si>
    <t>6 PCS</t>
  </si>
  <si>
    <t>7 PCS</t>
  </si>
  <si>
    <t>10 PCS</t>
  </si>
  <si>
    <t>17 PCS</t>
  </si>
  <si>
    <t>RS 50</t>
  </si>
  <si>
    <t>RS 85</t>
  </si>
  <si>
    <t>RS 33</t>
  </si>
  <si>
    <t>RS 78</t>
  </si>
  <si>
    <t>RS 99</t>
  </si>
  <si>
    <t>TOTAL</t>
  </si>
  <si>
    <t>CHEERY</t>
  </si>
  <si>
    <t>2 PCS</t>
  </si>
  <si>
    <t>9 PCS</t>
  </si>
  <si>
    <t>23 PCS</t>
  </si>
  <si>
    <t>RS 98</t>
  </si>
  <si>
    <t xml:space="preserve"> RS 75</t>
  </si>
  <si>
    <t>RS 63</t>
  </si>
  <si>
    <t>RS 25</t>
  </si>
  <si>
    <t>RS 79</t>
  </si>
  <si>
    <t>RS 56</t>
  </si>
  <si>
    <t>RS 55</t>
  </si>
  <si>
    <t xml:space="preserve"> RS 10</t>
  </si>
  <si>
    <t>TOMATO</t>
  </si>
  <si>
    <t>POTATO</t>
  </si>
  <si>
    <t>ONION</t>
  </si>
  <si>
    <t>PUMBKIN</t>
  </si>
  <si>
    <t>GARLIC</t>
  </si>
  <si>
    <t>RS 26</t>
  </si>
  <si>
    <t>AGE CALCULATION</t>
  </si>
  <si>
    <t>DATE OF BIRTH</t>
  </si>
  <si>
    <t>PRESENT DATE</t>
  </si>
  <si>
    <t>MONTH</t>
  </si>
  <si>
    <t>TOTAL MONTH</t>
  </si>
  <si>
    <t>TOTAL DAY</t>
  </si>
  <si>
    <t>YEAR</t>
  </si>
  <si>
    <t>AGE CALCULATION 2</t>
  </si>
  <si>
    <t>AGE CALCULATION 3</t>
  </si>
  <si>
    <t>TATOAL DAYS</t>
  </si>
  <si>
    <t>EMI ENTRY 1</t>
  </si>
  <si>
    <t>RATE OF INTEREST</t>
  </si>
  <si>
    <t>DURATION</t>
  </si>
  <si>
    <t>EMI AMOUNT</t>
  </si>
  <si>
    <t>INTEREST</t>
  </si>
  <si>
    <t>PRINCIPAL</t>
  </si>
  <si>
    <t>OUTSTANDING</t>
  </si>
  <si>
    <t>EMI ENTRY 2</t>
  </si>
  <si>
    <t>EMI ENTRTY -3</t>
  </si>
  <si>
    <t>EMI ENTRY-4</t>
  </si>
  <si>
    <t>PHONE NUMBER</t>
  </si>
  <si>
    <t>AADHAR NO</t>
  </si>
  <si>
    <t>POOJA</t>
  </si>
  <si>
    <t>SHIVA</t>
  </si>
  <si>
    <t>Sum of SL.NO</t>
  </si>
  <si>
    <t>Row Labels</t>
  </si>
  <si>
    <t>Grand Total</t>
  </si>
  <si>
    <t>Sum of SALARY</t>
  </si>
  <si>
    <t>Sum of INVOICE .NO</t>
  </si>
  <si>
    <t>Sum of CGST 17%</t>
  </si>
  <si>
    <t>Sum of SGST 19%</t>
  </si>
  <si>
    <t>Sum of TOTAL AMOUNT</t>
  </si>
  <si>
    <t>Sum of QUANTITY</t>
  </si>
  <si>
    <t>Sum of RATE</t>
  </si>
  <si>
    <t>Sum of AMOUNT</t>
  </si>
  <si>
    <t>Sum of INVOICE.NO</t>
  </si>
  <si>
    <t>BILL ENTRY-01</t>
  </si>
  <si>
    <t>(blank)</t>
  </si>
  <si>
    <t xml:space="preserve">  </t>
  </si>
  <si>
    <t>Sum of  AMOUNT</t>
  </si>
  <si>
    <t>SUM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</si>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</sst>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\-000\-000"/>
    <numFmt numFmtId="165" formatCode="0000\-000\-000"/>
  </numFmts>
  <fonts count="16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4"/>
      <color theme="1"/>
      <name val="Times New Roman"/>
      <family val="1"/>
    </font>
    <font>
      <sz val="20"/>
      <color theme="4" tint="-0.499984740745262"/>
      <name val="Times New Roman"/>
      <family val="1"/>
    </font>
    <font>
      <sz val="22"/>
      <color theme="4" tint="-0.499984740745262"/>
      <name val="Times New Roman"/>
      <family val="1"/>
    </font>
    <font>
      <sz val="26"/>
      <color theme="1"/>
      <name val="Calibri"/>
      <family val="2"/>
      <scheme val="minor"/>
    </font>
    <font>
      <sz val="22"/>
      <color theme="1"/>
      <name val="Times New Roman"/>
      <family val="1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28"/>
      <color theme="1"/>
      <name val="Times New Roman"/>
      <family val="1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9">
    <xf numFmtId="0" fontId="0" fillId="0" borderId="0" xfId="0"/>
    <xf numFmtId="0" fontId="0" fillId="3" borderId="0" xfId="0" applyFill="1"/>
    <xf numFmtId="0" fontId="0" fillId="6" borderId="0" xfId="0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Fill="1"/>
    <xf numFmtId="0" fontId="0" fillId="0" borderId="0" xfId="0" applyNumberFormat="1"/>
    <xf numFmtId="14" fontId="0" fillId="0" borderId="0" xfId="0" applyNumberFormat="1"/>
    <xf numFmtId="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4" fontId="0" fillId="0" borderId="0" xfId="1" applyNumberFormat="1" applyFont="1"/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1" fontId="11" fillId="19" borderId="0" xfId="0" applyNumberFormat="1" applyFont="1" applyFill="1" applyAlignment="1">
      <alignment horizontal="center"/>
    </xf>
    <xf numFmtId="1" fontId="0" fillId="19" borderId="0" xfId="0" applyNumberForma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7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8" fillId="20" borderId="0" xfId="0" applyFont="1" applyFill="1" applyAlignment="1">
      <alignment horizontal="center" wrapText="1"/>
    </xf>
    <xf numFmtId="0" fontId="0" fillId="20" borderId="0" xfId="0" applyFill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0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Sheet5!$C$6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6-4A3F-B95B-4CEE59E88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6-4A3F-B95B-4CEE59E88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F6-4A3F-B95B-4CEE59E88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F6-4A3F-B95B-4CEE59E88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F6-4A3F-B95B-4CEE59E88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F6-4A3F-B95B-4CEE59E88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F6-4A3F-B95B-4CEE59E88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1F6-4A3F-B95B-4CEE59E88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1F6-4A3F-B95B-4CEE59E88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1F6-4A3F-B95B-4CEE59E88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1F6-4A3F-B95B-4CEE59E88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1F6-4A3F-B95B-4CEE59E88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1F6-4A3F-B95B-4CEE59E88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1F6-4A3F-B95B-4CEE59E88F23}"/>
              </c:ext>
            </c:extLst>
          </c:dPt>
          <c:cat>
            <c:multiLvlStrRef>
              <c:f>Sheet5!$A$7:$B$19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Sheet5!$C$7:$C$19</c:f>
              <c:numCache>
                <c:formatCode>General</c:formatCode>
                <c:ptCount val="13"/>
                <c:pt idx="0">
                  <c:v>45</c:v>
                </c:pt>
                <c:pt idx="1">
                  <c:v>35</c:v>
                </c:pt>
                <c:pt idx="2">
                  <c:v>96</c:v>
                </c:pt>
                <c:pt idx="3">
                  <c:v>57</c:v>
                </c:pt>
                <c:pt idx="4">
                  <c:v>12</c:v>
                </c:pt>
                <c:pt idx="5">
                  <c:v>36</c:v>
                </c:pt>
                <c:pt idx="6">
                  <c:v>56</c:v>
                </c:pt>
                <c:pt idx="7">
                  <c:v>75</c:v>
                </c:pt>
                <c:pt idx="8">
                  <c:v>26</c:v>
                </c:pt>
                <c:pt idx="9">
                  <c:v>96</c:v>
                </c:pt>
                <c:pt idx="10">
                  <c:v>75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3-41D8-AF44-D54F91E8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Sheet5!$C$37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Sheet5!$A$38:$B$49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Sheet5!$C$38:$C$49</c:f>
              <c:numCache>
                <c:formatCode>General</c:formatCode>
                <c:ptCount val="12"/>
                <c:pt idx="0">
                  <c:v>85</c:v>
                </c:pt>
                <c:pt idx="1">
                  <c:v>35</c:v>
                </c:pt>
                <c:pt idx="2">
                  <c:v>75</c:v>
                </c:pt>
                <c:pt idx="3">
                  <c:v>69</c:v>
                </c:pt>
                <c:pt idx="4">
                  <c:v>44</c:v>
                </c:pt>
                <c:pt idx="5">
                  <c:v>36</c:v>
                </c:pt>
                <c:pt idx="6">
                  <c:v>27</c:v>
                </c:pt>
                <c:pt idx="7">
                  <c:v>38</c:v>
                </c:pt>
                <c:pt idx="8">
                  <c:v>95</c:v>
                </c:pt>
                <c:pt idx="9">
                  <c:v>78</c:v>
                </c:pt>
                <c:pt idx="10">
                  <c:v>32</c:v>
                </c:pt>
                <c:pt idx="1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C-438C-B108-00A62CCD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782431"/>
        <c:axId val="1263788255"/>
      </c:areaChart>
      <c:catAx>
        <c:axId val="126378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8255"/>
        <c:crosses val="autoZero"/>
        <c:auto val="1"/>
        <c:lblAlgn val="ctr"/>
        <c:lblOffset val="100"/>
        <c:noMultiLvlLbl val="0"/>
      </c:catAx>
      <c:valAx>
        <c:axId val="12637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Sheet5!$C$52</c:f>
              <c:strCache>
                <c:ptCount val="1"/>
                <c:pt idx="0">
                  <c:v>SALES</c:v>
                </c:pt>
              </c:strCache>
            </c:strRef>
          </c:tx>
          <c:explosion val="1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2D-490F-B62E-10EC55AEF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2D-490F-B62E-10EC55AEF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2D-490F-B62E-10EC55AEFF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2D-490F-B62E-10EC55AEFF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2D-490F-B62E-10EC55AEFF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2D-490F-B62E-10EC55AEFF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2D-490F-B62E-10EC55AEFF2B}"/>
              </c:ext>
            </c:extLst>
          </c:dPt>
          <c:cat>
            <c:multiLvlStrRef>
              <c:f>Sheet5!$A$53:$B$59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Sheet5!$C$53:$C$59</c:f>
              <c:numCache>
                <c:formatCode>General</c:formatCode>
                <c:ptCount val="7"/>
                <c:pt idx="0">
                  <c:v>88</c:v>
                </c:pt>
                <c:pt idx="1">
                  <c:v>36</c:v>
                </c:pt>
                <c:pt idx="2">
                  <c:v>95</c:v>
                </c:pt>
                <c:pt idx="3">
                  <c:v>74</c:v>
                </c:pt>
                <c:pt idx="4">
                  <c:v>25</c:v>
                </c:pt>
                <c:pt idx="5">
                  <c:v>66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2-4C5F-903B-65F95343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Sheet5!$C$66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multiLvlStrRef>
              <c:f>Sheet5!$A$67:$B$86</c:f>
              <c:multiLvlStrCache>
                <c:ptCount val="20"/>
                <c:lvl>
                  <c:pt idx="0">
                    <c:v>MANGO</c:v>
                  </c:pt>
                  <c:pt idx="1">
                    <c:v>STRAWBERRY</c:v>
                  </c:pt>
                  <c:pt idx="2">
                    <c:v>ORANGE</c:v>
                  </c:pt>
                  <c:pt idx="3">
                    <c:v>KIWI</c:v>
                  </c:pt>
                  <c:pt idx="4">
                    <c:v>LICHI</c:v>
                  </c:pt>
                  <c:pt idx="5">
                    <c:v>APPLE</c:v>
                  </c:pt>
                  <c:pt idx="6">
                    <c:v>BANANA</c:v>
                  </c:pt>
                  <c:pt idx="7">
                    <c:v>GRAPES</c:v>
                  </c:pt>
                  <c:pt idx="8">
                    <c:v>WATER MELON</c:v>
                  </c:pt>
                  <c:pt idx="9">
                    <c:v>MANGO</c:v>
                  </c:pt>
                  <c:pt idx="10">
                    <c:v>STRAWBERRY</c:v>
                  </c:pt>
                  <c:pt idx="11">
                    <c:v>GOA</c:v>
                  </c:pt>
                  <c:pt idx="12">
                    <c:v>APPLE</c:v>
                  </c:pt>
                  <c:pt idx="13">
                    <c:v>KIWI</c:v>
                  </c:pt>
                  <c:pt idx="14">
                    <c:v>PAPAYA</c:v>
                  </c:pt>
                  <c:pt idx="15">
                    <c:v>JACKFRUIRT</c:v>
                  </c:pt>
                  <c:pt idx="16">
                    <c:v>MANGO</c:v>
                  </c:pt>
                  <c:pt idx="17">
                    <c:v>PEACH</c:v>
                  </c:pt>
                  <c:pt idx="18">
                    <c:v>PINEAPPLE</c:v>
                  </c:pt>
                  <c:pt idx="19">
                    <c:v>PEAR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Sheet5!$C$67:$C$86</c:f>
              <c:numCache>
                <c:formatCode>General</c:formatCode>
                <c:ptCount val="20"/>
                <c:pt idx="0">
                  <c:v>35</c:v>
                </c:pt>
                <c:pt idx="1">
                  <c:v>65</c:v>
                </c:pt>
                <c:pt idx="2">
                  <c:v>75</c:v>
                </c:pt>
                <c:pt idx="3">
                  <c:v>26</c:v>
                </c:pt>
                <c:pt idx="4">
                  <c:v>95</c:v>
                </c:pt>
                <c:pt idx="5">
                  <c:v>14</c:v>
                </c:pt>
                <c:pt idx="6">
                  <c:v>75</c:v>
                </c:pt>
                <c:pt idx="7">
                  <c:v>35</c:v>
                </c:pt>
                <c:pt idx="8">
                  <c:v>69</c:v>
                </c:pt>
                <c:pt idx="9">
                  <c:v>23</c:v>
                </c:pt>
                <c:pt idx="10">
                  <c:v>34</c:v>
                </c:pt>
                <c:pt idx="11">
                  <c:v>42</c:v>
                </c:pt>
                <c:pt idx="12">
                  <c:v>68</c:v>
                </c:pt>
                <c:pt idx="13">
                  <c:v>78</c:v>
                </c:pt>
                <c:pt idx="14">
                  <c:v>69</c:v>
                </c:pt>
                <c:pt idx="15">
                  <c:v>41</c:v>
                </c:pt>
                <c:pt idx="16">
                  <c:v>32</c:v>
                </c:pt>
                <c:pt idx="17">
                  <c:v>84</c:v>
                </c:pt>
                <c:pt idx="18">
                  <c:v>78</c:v>
                </c:pt>
                <c:pt idx="1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7-4C57-B195-D1A72451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867823"/>
        <c:axId val="1391874063"/>
        <c:axId val="1266060079"/>
      </c:line3DChart>
      <c:catAx>
        <c:axId val="139186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4063"/>
        <c:crosses val="autoZero"/>
        <c:auto val="1"/>
        <c:lblAlgn val="ctr"/>
        <c:lblOffset val="100"/>
        <c:noMultiLvlLbl val="0"/>
      </c:catAx>
      <c:valAx>
        <c:axId val="13918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67823"/>
        <c:crosses val="autoZero"/>
        <c:crossBetween val="between"/>
      </c:valAx>
      <c:serAx>
        <c:axId val="12660600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406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Sheet5!$A$111:$A$131</c:f>
              <c:strCache>
                <c:ptCount val="20"/>
                <c:pt idx="0">
                  <c:v>SL.NO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xVal>
          <c:yVal>
            <c:numRef>
              <c:f>Sheet5!$B$111:$B$131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bubbleSize>
            <c:numRef>
              <c:f>Sheet5!$C$111:$C$131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21</c:v>
                </c:pt>
                <c:pt idx="6">
                  <c:v>15</c:v>
                </c:pt>
                <c:pt idx="7">
                  <c:v>5</c:v>
                </c:pt>
                <c:pt idx="8">
                  <c:v>8</c:v>
                </c:pt>
                <c:pt idx="9">
                  <c:v>12</c:v>
                </c:pt>
                <c:pt idx="10">
                  <c:v>35</c:v>
                </c:pt>
                <c:pt idx="11">
                  <c:v>26</c:v>
                </c:pt>
                <c:pt idx="12">
                  <c:v>12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6</c:v>
                </c:pt>
                <c:pt idx="19">
                  <c:v>7</c:v>
                </c:pt>
                <c:pt idx="20">
                  <c:v>20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678-4B09-B717-A000768BB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1876143"/>
        <c:axId val="1391877391"/>
      </c:bubbleChart>
      <c:valAx>
        <c:axId val="13918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7391"/>
        <c:crosses val="autoZero"/>
        <c:crossBetween val="midCat"/>
      </c:valAx>
      <c:valAx>
        <c:axId val="13918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Sheet5!$C$133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C4-44C5-B01E-4C99DA8473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C4-44C5-B01E-4C99DA8473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C4-44C5-B01E-4C99DA8473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C4-44C5-B01E-4C99DA8473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C4-44C5-B01E-4C99DA8473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C4-44C5-B01E-4C99DA8473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C4-44C5-B01E-4C99DA8473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C4-44C5-B01E-4C99DA8473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C4-44C5-B01E-4C99DA8473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2C4-44C5-B01E-4C99DA8473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2C4-44C5-B01E-4C99DA8473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2C4-44C5-B01E-4C99DA8473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2C4-44C5-B01E-4C99DA84738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2C4-44C5-B01E-4C99DA8473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2C4-44C5-B01E-4C99DA8473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2C4-44C5-B01E-4C99DA84738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2C4-44C5-B01E-4C99DA84738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2C4-44C5-B01E-4C99DA84738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2C4-44C5-B01E-4C99DA847380}"/>
              </c:ext>
            </c:extLst>
          </c:dPt>
          <c:cat>
            <c:multiLvlStrRef>
              <c:f>Sheet5!$A$134:$B$151</c:f>
              <c:multiLvlStrCache>
                <c:ptCount val="18"/>
                <c:lvl>
                  <c:pt idx="0">
                    <c:v>KAVYA</c:v>
                  </c:pt>
                  <c:pt idx="1">
                    <c:v>LAVANYA</c:v>
                  </c:pt>
                  <c:pt idx="2">
                    <c:v>CHAITHANYA</c:v>
                  </c:pt>
                  <c:pt idx="3">
                    <c:v>SHARANYA</c:v>
                  </c:pt>
                  <c:pt idx="4">
                    <c:v>RAHUL</c:v>
                  </c:pt>
                  <c:pt idx="5">
                    <c:v>ROHITH</c:v>
                  </c:pt>
                  <c:pt idx="6">
                    <c:v>VIRAT</c:v>
                  </c:pt>
                  <c:pt idx="7">
                    <c:v>MADAM\N</c:v>
                  </c:pt>
                  <c:pt idx="8">
                    <c:v>KHAMAR</c:v>
                  </c:pt>
                  <c:pt idx="9">
                    <c:v>KEERTHI</c:v>
                  </c:pt>
                  <c:pt idx="10">
                    <c:v>KOKATI</c:v>
                  </c:pt>
                  <c:pt idx="11">
                    <c:v>SEHER</c:v>
                  </c:pt>
                  <c:pt idx="12">
                    <c:v>ZAID</c:v>
                  </c:pt>
                  <c:pt idx="13">
                    <c:v>SUFIYAN</c:v>
                  </c:pt>
                  <c:pt idx="14">
                    <c:v>IRFANA</c:v>
                  </c:pt>
                  <c:pt idx="15">
                    <c:v>CHAITRA</c:v>
                  </c:pt>
                  <c:pt idx="16">
                    <c:v>KEERTHANA</c:v>
                  </c:pt>
                  <c:pt idx="17">
                    <c:v>PRATHIBHA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:lvl>
              </c:multiLvlStrCache>
            </c:multiLvlStrRef>
          </c:cat>
          <c:val>
            <c:numRef>
              <c:f>Sheet5!$C$134:$C$151</c:f>
              <c:numCache>
                <c:formatCode>General</c:formatCode>
                <c:ptCount val="18"/>
                <c:pt idx="0">
                  <c:v>99</c:v>
                </c:pt>
                <c:pt idx="1">
                  <c:v>95</c:v>
                </c:pt>
                <c:pt idx="2">
                  <c:v>24</c:v>
                </c:pt>
                <c:pt idx="3">
                  <c:v>65</c:v>
                </c:pt>
                <c:pt idx="4">
                  <c:v>96</c:v>
                </c:pt>
                <c:pt idx="5">
                  <c:v>58</c:v>
                </c:pt>
                <c:pt idx="6">
                  <c:v>25</c:v>
                </c:pt>
                <c:pt idx="7">
                  <c:v>24</c:v>
                </c:pt>
                <c:pt idx="8">
                  <c:v>65</c:v>
                </c:pt>
                <c:pt idx="9">
                  <c:v>58</c:v>
                </c:pt>
                <c:pt idx="10">
                  <c:v>78</c:v>
                </c:pt>
                <c:pt idx="11">
                  <c:v>59</c:v>
                </c:pt>
                <c:pt idx="12">
                  <c:v>56</c:v>
                </c:pt>
                <c:pt idx="13">
                  <c:v>75</c:v>
                </c:pt>
                <c:pt idx="14">
                  <c:v>99</c:v>
                </c:pt>
                <c:pt idx="15">
                  <c:v>55</c:v>
                </c:pt>
                <c:pt idx="16">
                  <c:v>65</c:v>
                </c:pt>
                <c:pt idx="1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B-4A8C-9933-CE1EB9970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6981627296588"/>
          <c:y val="7.407407407407407E-2"/>
          <c:w val="0.86486351706036746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Sheet5!$A$157:$B$157</c:f>
              <c:strCache>
                <c:ptCount val="2"/>
                <c:pt idx="0">
                  <c:v>1</c:v>
                </c:pt>
                <c:pt idx="1">
                  <c:v>KHAMAR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Sheet5!$C$157</c:f>
              <c:numCache>
                <c:formatCode>General</c:formatCode>
                <c:ptCount val="1"/>
                <c:pt idx="0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1-43AB-A2D2-993FB3FE0907}"/>
            </c:ext>
          </c:extLst>
        </c:ser>
        <c:ser>
          <c:idx val="1"/>
          <c:order val="1"/>
          <c:tx>
            <c:strRef>
              <c:f>Sheet5!$A$158:$B$158</c:f>
              <c:strCache>
                <c:ptCount val="2"/>
                <c:pt idx="0">
                  <c:v>2</c:v>
                </c:pt>
                <c:pt idx="1">
                  <c:v>KEERTHI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Sheet5!$C$158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1-43AB-A2D2-993FB3FE0907}"/>
            </c:ext>
          </c:extLst>
        </c:ser>
        <c:ser>
          <c:idx val="2"/>
          <c:order val="2"/>
          <c:tx>
            <c:strRef>
              <c:f>Sheet5!$A$159:$B$159</c:f>
              <c:strCache>
                <c:ptCount val="2"/>
                <c:pt idx="0">
                  <c:v>3</c:v>
                </c:pt>
                <c:pt idx="1">
                  <c:v>KOKATI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Sheet5!$C$159</c:f>
              <c:numCache>
                <c:formatCode>General</c:formatCode>
                <c:ptCount val="1"/>
                <c:pt idx="0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1-43AB-A2D2-993FB3FE0907}"/>
            </c:ext>
          </c:extLst>
        </c:ser>
        <c:ser>
          <c:idx val="3"/>
          <c:order val="3"/>
          <c:tx>
            <c:strRef>
              <c:f>Sheet5!$A$160:$B$160</c:f>
              <c:strCache>
                <c:ptCount val="2"/>
                <c:pt idx="0">
                  <c:v>4</c:v>
                </c:pt>
                <c:pt idx="1">
                  <c:v>SEHER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Sheet5!$C$160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1-43AB-A2D2-993FB3FE0907}"/>
            </c:ext>
          </c:extLst>
        </c:ser>
        <c:ser>
          <c:idx val="4"/>
          <c:order val="4"/>
          <c:tx>
            <c:strRef>
              <c:f>Sheet5!$A$161:$B$161</c:f>
              <c:strCache>
                <c:ptCount val="2"/>
                <c:pt idx="0">
                  <c:v>5</c:v>
                </c:pt>
                <c:pt idx="1">
                  <c:v>ZAID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Sheet5!$C$161</c:f>
              <c:numCache>
                <c:formatCode>General</c:formatCode>
                <c:ptCount val="1"/>
                <c:pt idx="0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1-43AB-A2D2-993FB3FE0907}"/>
            </c:ext>
          </c:extLst>
        </c:ser>
        <c:ser>
          <c:idx val="5"/>
          <c:order val="5"/>
          <c:tx>
            <c:strRef>
              <c:f>Sheet5!$A$162:$B$162</c:f>
              <c:strCache>
                <c:ptCount val="2"/>
                <c:pt idx="0">
                  <c:v>6</c:v>
                </c:pt>
                <c:pt idx="1">
                  <c:v>SUFIYAN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Sheet5!$C$162</c:f>
              <c:numCache>
                <c:formatCode>General</c:formatCode>
                <c:ptCount val="1"/>
                <c:pt idx="0">
                  <c:v>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F1-43AB-A2D2-993FB3FE0907}"/>
            </c:ext>
          </c:extLst>
        </c:ser>
        <c:ser>
          <c:idx val="6"/>
          <c:order val="6"/>
          <c:tx>
            <c:strRef>
              <c:f>Sheet5!$A$163:$B$163</c:f>
              <c:strCache>
                <c:ptCount val="2"/>
                <c:pt idx="0">
                  <c:v>7</c:v>
                </c:pt>
                <c:pt idx="1">
                  <c:v>IRFANA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Sheet5!$C$163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1-43AB-A2D2-993FB3FE0907}"/>
            </c:ext>
          </c:extLst>
        </c:ser>
        <c:ser>
          <c:idx val="7"/>
          <c:order val="7"/>
          <c:tx>
            <c:strRef>
              <c:f>Sheet5!$A$164:$B$164</c:f>
              <c:strCache>
                <c:ptCount val="2"/>
                <c:pt idx="0">
                  <c:v>8</c:v>
                </c:pt>
                <c:pt idx="1">
                  <c:v>CHAITRA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Sheet5!$C$164</c:f>
              <c:numCache>
                <c:formatCode>General</c:formatCode>
                <c:ptCount val="1"/>
                <c:pt idx="0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F1-43AB-A2D2-993FB3FE0907}"/>
            </c:ext>
          </c:extLst>
        </c:ser>
        <c:ser>
          <c:idx val="8"/>
          <c:order val="8"/>
          <c:tx>
            <c:strRef>
              <c:f>Sheet5!$A$165:$B$165</c:f>
              <c:strCache>
                <c:ptCount val="2"/>
                <c:pt idx="0">
                  <c:v>9</c:v>
                </c:pt>
                <c:pt idx="1">
                  <c:v>KEERTHANA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Sheet5!$C$165</c:f>
              <c:numCache>
                <c:formatCode>General</c:formatCode>
                <c:ptCount val="1"/>
                <c:pt idx="0">
                  <c:v>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F1-43AB-A2D2-993FB3FE0907}"/>
            </c:ext>
          </c:extLst>
        </c:ser>
        <c:ser>
          <c:idx val="9"/>
          <c:order val="9"/>
          <c:tx>
            <c:strRef>
              <c:f>Sheet5!$A$166:$B$166</c:f>
              <c:strCache>
                <c:ptCount val="2"/>
                <c:pt idx="0">
                  <c:v>10</c:v>
                </c:pt>
                <c:pt idx="1">
                  <c:v>PRATHIBHA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Sheet5!$C$156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Sheet5!$C$166</c:f>
              <c:numCache>
                <c:formatCode>General</c:formatCode>
                <c:ptCount val="1"/>
                <c:pt idx="0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F1-43AB-A2D2-993FB3FE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697551"/>
        <c:axId val="1161686319"/>
      </c:barChart>
      <c:catAx>
        <c:axId val="1161697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86319"/>
        <c:crosses val="autoZero"/>
        <c:auto val="1"/>
        <c:lblAlgn val="ctr"/>
        <c:lblOffset val="100"/>
        <c:noMultiLvlLbl val="0"/>
      </c:catAx>
      <c:valAx>
        <c:axId val="11616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9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Sheet5!$A$170:$B$170</c:f>
              <c:strCache>
                <c:ptCount val="2"/>
                <c:pt idx="0">
                  <c:v>1</c:v>
                </c:pt>
                <c:pt idx="1">
                  <c:v>KAVYA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Sheet5!$C$170:$E$170</c:f>
              <c:numCache>
                <c:formatCode>General</c:formatCode>
                <c:ptCount val="3"/>
                <c:pt idx="0">
                  <c:v>69</c:v>
                </c:pt>
                <c:pt idx="1">
                  <c:v>98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6-4640-85B6-9AA38E38B000}"/>
            </c:ext>
          </c:extLst>
        </c:ser>
        <c:ser>
          <c:idx val="1"/>
          <c:order val="1"/>
          <c:tx>
            <c:strRef>
              <c:f>Sheet5!$A$171:$B$171</c:f>
              <c:strCache>
                <c:ptCount val="2"/>
                <c:pt idx="0">
                  <c:v>2</c:v>
                </c:pt>
                <c:pt idx="1">
                  <c:v>LAVANYA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Sheet5!$C$171:$E$171</c:f>
              <c:numCache>
                <c:formatCode>General</c:formatCode>
                <c:ptCount val="3"/>
                <c:pt idx="0">
                  <c:v>54</c:v>
                </c:pt>
                <c:pt idx="1">
                  <c:v>87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6-4640-85B6-9AA38E38B000}"/>
            </c:ext>
          </c:extLst>
        </c:ser>
        <c:ser>
          <c:idx val="2"/>
          <c:order val="2"/>
          <c:tx>
            <c:strRef>
              <c:f>Sheet5!$A$172:$B$172</c:f>
              <c:strCache>
                <c:ptCount val="2"/>
                <c:pt idx="0">
                  <c:v>3</c:v>
                </c:pt>
                <c:pt idx="1">
                  <c:v>CHAITHANYA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Sheet5!$C$172:$E$172</c:f>
              <c:numCache>
                <c:formatCode>General</c:formatCode>
                <c:ptCount val="3"/>
                <c:pt idx="0">
                  <c:v>74</c:v>
                </c:pt>
                <c:pt idx="1">
                  <c:v>89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6-4640-85B6-9AA38E38B000}"/>
            </c:ext>
          </c:extLst>
        </c:ser>
        <c:ser>
          <c:idx val="3"/>
          <c:order val="3"/>
          <c:tx>
            <c:strRef>
              <c:f>Sheet5!$A$173:$B$173</c:f>
              <c:strCache>
                <c:ptCount val="2"/>
                <c:pt idx="0">
                  <c:v>4</c:v>
                </c:pt>
                <c:pt idx="1">
                  <c:v>SHARANYA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Sheet5!$C$173:$E$173</c:f>
              <c:numCache>
                <c:formatCode>General</c:formatCode>
                <c:ptCount val="3"/>
                <c:pt idx="0">
                  <c:v>35</c:v>
                </c:pt>
                <c:pt idx="1">
                  <c:v>95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6-4640-85B6-9AA38E38B000}"/>
            </c:ext>
          </c:extLst>
        </c:ser>
        <c:ser>
          <c:idx val="4"/>
          <c:order val="4"/>
          <c:tx>
            <c:strRef>
              <c:f>Sheet5!$A$174:$B$174</c:f>
              <c:strCache>
                <c:ptCount val="2"/>
                <c:pt idx="0">
                  <c:v>5</c:v>
                </c:pt>
                <c:pt idx="1">
                  <c:v>RAHUL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Sheet5!$C$174:$E$174</c:f>
              <c:numCache>
                <c:formatCode>General</c:formatCode>
                <c:ptCount val="3"/>
                <c:pt idx="0">
                  <c:v>64</c:v>
                </c:pt>
                <c:pt idx="1">
                  <c:v>63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6-4640-85B6-9AA38E38B000}"/>
            </c:ext>
          </c:extLst>
        </c:ser>
        <c:ser>
          <c:idx val="5"/>
          <c:order val="5"/>
          <c:tx>
            <c:strRef>
              <c:f>Sheet5!$A$175:$B$175</c:f>
              <c:strCache>
                <c:ptCount val="2"/>
                <c:pt idx="0">
                  <c:v>6</c:v>
                </c:pt>
                <c:pt idx="1">
                  <c:v>ROHITH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Sheet5!$C$175:$E$175</c:f>
              <c:numCache>
                <c:formatCode>General</c:formatCode>
                <c:ptCount val="3"/>
                <c:pt idx="0">
                  <c:v>56</c:v>
                </c:pt>
                <c:pt idx="1">
                  <c:v>35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6-4640-85B6-9AA38E38B000}"/>
            </c:ext>
          </c:extLst>
        </c:ser>
        <c:ser>
          <c:idx val="6"/>
          <c:order val="6"/>
          <c:tx>
            <c:strRef>
              <c:f>Sheet5!$A$176:$B$176</c:f>
              <c:strCache>
                <c:ptCount val="2"/>
                <c:pt idx="0">
                  <c:v>7</c:v>
                </c:pt>
                <c:pt idx="1">
                  <c:v>VIRAT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Sheet5!$C$176:$E$176</c:f>
              <c:numCache>
                <c:formatCode>General</c:formatCode>
                <c:ptCount val="3"/>
                <c:pt idx="0">
                  <c:v>32</c:v>
                </c:pt>
                <c:pt idx="1">
                  <c:v>42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86-4640-85B6-9AA38E38B000}"/>
            </c:ext>
          </c:extLst>
        </c:ser>
        <c:ser>
          <c:idx val="7"/>
          <c:order val="7"/>
          <c:tx>
            <c:strRef>
              <c:f>Sheet5!$A$177:$B$177</c:f>
              <c:strCache>
                <c:ptCount val="2"/>
                <c:pt idx="0">
                  <c:v>8</c:v>
                </c:pt>
                <c:pt idx="1">
                  <c:v>MADAM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Sheet5!$C$177:$E$177</c:f>
              <c:numCache>
                <c:formatCode>General</c:formatCode>
                <c:ptCount val="3"/>
                <c:pt idx="0">
                  <c:v>21</c:v>
                </c:pt>
                <c:pt idx="1">
                  <c:v>23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86-4640-85B6-9AA38E38B000}"/>
            </c:ext>
          </c:extLst>
        </c:ser>
        <c:ser>
          <c:idx val="8"/>
          <c:order val="8"/>
          <c:tx>
            <c:strRef>
              <c:f>Sheet5!$A$178:$B$178</c:f>
              <c:strCache>
                <c:ptCount val="2"/>
                <c:pt idx="0">
                  <c:v>9</c:v>
                </c:pt>
                <c:pt idx="1">
                  <c:v>KHAMAR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Sheet5!$C$178:$E$178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86-4640-85B6-9AA38E38B000}"/>
            </c:ext>
          </c:extLst>
        </c:ser>
        <c:ser>
          <c:idx val="9"/>
          <c:order val="9"/>
          <c:tx>
            <c:strRef>
              <c:f>Sheet5!$A$179:$B$179</c:f>
              <c:strCache>
                <c:ptCount val="2"/>
                <c:pt idx="0">
                  <c:v>10</c:v>
                </c:pt>
                <c:pt idx="1">
                  <c:v>KEERTHI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Sheet5!$C$179:$E$179</c:f>
              <c:numCache>
                <c:formatCode>General</c:formatCode>
                <c:ptCount val="3"/>
                <c:pt idx="0">
                  <c:v>38</c:v>
                </c:pt>
                <c:pt idx="1">
                  <c:v>96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86-4640-85B6-9AA38E38B000}"/>
            </c:ext>
          </c:extLst>
        </c:ser>
        <c:ser>
          <c:idx val="10"/>
          <c:order val="10"/>
          <c:tx>
            <c:strRef>
              <c:f>Sheet5!$A$180:$B$180</c:f>
              <c:strCache>
                <c:ptCount val="2"/>
                <c:pt idx="0">
                  <c:v>11</c:v>
                </c:pt>
                <c:pt idx="1">
                  <c:v>KOKATI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Sheet5!$C$180:$E$180</c:f>
              <c:numCache>
                <c:formatCode>General</c:formatCode>
                <c:ptCount val="3"/>
                <c:pt idx="0">
                  <c:v>56</c:v>
                </c:pt>
                <c:pt idx="1">
                  <c:v>87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86-4640-85B6-9AA38E38B000}"/>
            </c:ext>
          </c:extLst>
        </c:ser>
        <c:ser>
          <c:idx val="11"/>
          <c:order val="11"/>
          <c:tx>
            <c:strRef>
              <c:f>Sheet5!$A$181:$B$181</c:f>
              <c:strCache>
                <c:ptCount val="2"/>
                <c:pt idx="0">
                  <c:v>12</c:v>
                </c:pt>
                <c:pt idx="1">
                  <c:v>SEHER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Sheet5!$C$181:$E$181</c:f>
              <c:numCache>
                <c:formatCode>General</c:formatCode>
                <c:ptCount val="3"/>
                <c:pt idx="0">
                  <c:v>95</c:v>
                </c:pt>
                <c:pt idx="1">
                  <c:v>96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86-4640-85B6-9AA38E38B000}"/>
            </c:ext>
          </c:extLst>
        </c:ser>
        <c:ser>
          <c:idx val="12"/>
          <c:order val="12"/>
          <c:tx>
            <c:strRef>
              <c:f>Sheet5!$A$182:$B$182</c:f>
              <c:strCache>
                <c:ptCount val="2"/>
                <c:pt idx="0">
                  <c:v>13</c:v>
                </c:pt>
                <c:pt idx="1">
                  <c:v>ZAID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Sheet5!$C$182:$E$182</c:f>
              <c:numCache>
                <c:formatCode>General</c:formatCode>
                <c:ptCount val="3"/>
                <c:pt idx="0">
                  <c:v>47</c:v>
                </c:pt>
                <c:pt idx="1">
                  <c:v>65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86-4640-85B6-9AA38E38B000}"/>
            </c:ext>
          </c:extLst>
        </c:ser>
        <c:ser>
          <c:idx val="13"/>
          <c:order val="13"/>
          <c:tx>
            <c:strRef>
              <c:f>Sheet5!$A$183:$B$183</c:f>
              <c:strCache>
                <c:ptCount val="2"/>
                <c:pt idx="0">
                  <c:v>14</c:v>
                </c:pt>
                <c:pt idx="1">
                  <c:v>SUFIYAN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Sheet5!$C$183:$E$183</c:f>
              <c:numCache>
                <c:formatCode>General</c:formatCode>
                <c:ptCount val="3"/>
                <c:pt idx="0">
                  <c:v>89</c:v>
                </c:pt>
                <c:pt idx="1">
                  <c:v>54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86-4640-85B6-9AA38E38B000}"/>
            </c:ext>
          </c:extLst>
        </c:ser>
        <c:ser>
          <c:idx val="14"/>
          <c:order val="14"/>
          <c:tx>
            <c:strRef>
              <c:f>Sheet5!$A$184:$B$184</c:f>
              <c:strCache>
                <c:ptCount val="2"/>
                <c:pt idx="0">
                  <c:v>15</c:v>
                </c:pt>
                <c:pt idx="1">
                  <c:v>IRFANA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Sheet5!$C$169:$E$169</c:f>
              <c:strCache>
                <c:ptCount val="3"/>
                <c:pt idx="0">
                  <c:v>KANNADA</c:v>
                </c:pt>
                <c:pt idx="1">
                  <c:v>ENGLISH</c:v>
                </c:pt>
                <c:pt idx="2">
                  <c:v>HINDI</c:v>
                </c:pt>
              </c:strCache>
            </c:strRef>
          </c:cat>
          <c:val>
            <c:numRef>
              <c:f>Sheet5!$C$184:$E$184</c:f>
              <c:numCache>
                <c:formatCode>General</c:formatCode>
                <c:ptCount val="3"/>
                <c:pt idx="0">
                  <c:v>35</c:v>
                </c:pt>
                <c:pt idx="1">
                  <c:v>24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86-4640-85B6-9AA38E38B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26623"/>
        <c:axId val="1220023711"/>
      </c:radarChart>
      <c:catAx>
        <c:axId val="12200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3711"/>
        <c:crosses val="autoZero"/>
        <c:auto val="1"/>
        <c:lblAlgn val="ctr"/>
        <c:lblOffset val="100"/>
        <c:noMultiLvlLbl val="0"/>
      </c:catAx>
      <c:valAx>
        <c:axId val="122002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[seher.ecel.xlsx]Sheet6!PivotTable1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Sheet6!$G$101</c:f>
              <c:strCache>
                <c:ptCount val="1"/>
                <c:pt idx="0">
                  <c:v>Sum of SL.NO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Sheet6!$F$102:$F$113</c:f>
              <c:strCache>
                <c:ptCount val="11"/>
                <c:pt idx="0">
                  <c:v> TARA</c:v>
                </c:pt>
                <c:pt idx="1">
                  <c:v>IMAN</c:v>
                </c:pt>
                <c:pt idx="2">
                  <c:v>KAVYA</c:v>
                </c:pt>
                <c:pt idx="3">
                  <c:v>KEERTHI</c:v>
                </c:pt>
                <c:pt idx="4">
                  <c:v>MAHESH</c:v>
                </c:pt>
                <c:pt idx="5">
                  <c:v>PP</c:v>
                </c:pt>
                <c:pt idx="6">
                  <c:v>PRAJWAL</c:v>
                </c:pt>
                <c:pt idx="7">
                  <c:v>SUMA</c:v>
                </c:pt>
                <c:pt idx="8">
                  <c:v>SURESH</c:v>
                </c:pt>
                <c:pt idx="9">
                  <c:v>SWEHER</c:v>
                </c:pt>
                <c:pt idx="10">
                  <c:v>VEENA</c:v>
                </c:pt>
              </c:strCache>
            </c:strRef>
          </c:cat>
          <c:val>
            <c:numRef>
              <c:f>Sheet6!$G$102:$G$113</c:f>
              <c:numCache>
                <c:formatCode>General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  <c:pt idx="6">
                  <c:v>4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E-4B92-AC85-0FDD1D335F93}"/>
            </c:ext>
          </c:extLst>
        </c:ser>
        <c:ser>
          <c:idx val="1"/>
          <c:order val="1"/>
          <c:tx>
            <c:strRef>
              <c:f>Sheet6!$H$101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Sheet6!$F$102:$F$113</c:f>
              <c:strCache>
                <c:ptCount val="11"/>
                <c:pt idx="0">
                  <c:v> TARA</c:v>
                </c:pt>
                <c:pt idx="1">
                  <c:v>IMAN</c:v>
                </c:pt>
                <c:pt idx="2">
                  <c:v>KAVYA</c:v>
                </c:pt>
                <c:pt idx="3">
                  <c:v>KEERTHI</c:v>
                </c:pt>
                <c:pt idx="4">
                  <c:v>MAHESH</c:v>
                </c:pt>
                <c:pt idx="5">
                  <c:v>PP</c:v>
                </c:pt>
                <c:pt idx="6">
                  <c:v>PRAJWAL</c:v>
                </c:pt>
                <c:pt idx="7">
                  <c:v>SUMA</c:v>
                </c:pt>
                <c:pt idx="8">
                  <c:v>SURESH</c:v>
                </c:pt>
                <c:pt idx="9">
                  <c:v>SWEHER</c:v>
                </c:pt>
                <c:pt idx="10">
                  <c:v>VEENA</c:v>
                </c:pt>
              </c:strCache>
            </c:strRef>
          </c:cat>
          <c:val>
            <c:numRef>
              <c:f>Sheet6!$H$102:$H$113</c:f>
              <c:numCache>
                <c:formatCode>General</c:formatCode>
                <c:ptCount val="11"/>
                <c:pt idx="0">
                  <c:v>5283</c:v>
                </c:pt>
                <c:pt idx="1">
                  <c:v>5876</c:v>
                </c:pt>
                <c:pt idx="2">
                  <c:v>1245</c:v>
                </c:pt>
                <c:pt idx="3">
                  <c:v>897</c:v>
                </c:pt>
                <c:pt idx="4">
                  <c:v>1478</c:v>
                </c:pt>
                <c:pt idx="5">
                  <c:v>789</c:v>
                </c:pt>
                <c:pt idx="6">
                  <c:v>6589</c:v>
                </c:pt>
                <c:pt idx="7">
                  <c:v>5497</c:v>
                </c:pt>
                <c:pt idx="8">
                  <c:v>2456</c:v>
                </c:pt>
                <c:pt idx="9">
                  <c:v>4789</c:v>
                </c:pt>
                <c:pt idx="10">
                  <c:v>4569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E-4B92-AC85-0FDD1D33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246848"/>
        <c:axId val="2012249344"/>
      </c:barChart>
      <c:catAx>
        <c:axId val="20122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49344"/>
        <c:crosses val="autoZero"/>
        <c:auto val="1"/>
        <c:lblAlgn val="ctr"/>
        <c:lblOffset val="100"/>
        <c:noMultiLvlLbl val="0"/>
      </c:catAx>
      <c:valAx>
        <c:axId val="2012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362F2650-3E7F-47F3-89F5-0D0F4C71C4DE}">
          <cx:tx>
            <cx:txData>
              <cx:f>_xlchart.v1.1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QUANTITY</a:t>
            </a:r>
          </a:p>
        </cx:rich>
      </cx:tx>
    </cx:title>
    <cx:plotArea>
      <cx:plotAreaRegion>
        <cx:series layoutId="clusteredColumn" uniqueId="{797D6882-C5DA-412E-A33A-69663AF6A8EA}">
          <cx:tx>
            <cx:txData>
              <cx:f>_xlchart.v1.4</cx:f>
              <cx:v>QUANTITY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FB2BFD2-704D-47BA-87D1-8BA2DE5EC231}">
          <cx:axisId val="2"/>
        </cx:series>
      </cx:plotAreaRegion>
      <cx:axis id="0">
        <cx:catScaling/>
        <cx:majorTickMarks type="out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openxmlformats.org/officeDocument/2006/relationships/chart" Target="../charts/chart4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5</xdr:row>
      <xdr:rowOff>28575</xdr:rowOff>
    </xdr:from>
    <xdr:to>
      <xdr:col>14</xdr:col>
      <xdr:colOff>38100</xdr:colOff>
      <xdr:row>19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21</xdr:row>
      <xdr:rowOff>161925</xdr:rowOff>
    </xdr:from>
    <xdr:to>
      <xdr:col>12</xdr:col>
      <xdr:colOff>142875</xdr:colOff>
      <xdr:row>33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361950</xdr:colOff>
      <xdr:row>35</xdr:row>
      <xdr:rowOff>0</xdr:rowOff>
    </xdr:from>
    <xdr:to>
      <xdr:col>12</xdr:col>
      <xdr:colOff>361950</xdr:colOff>
      <xdr:row>47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238125</xdr:colOff>
      <xdr:row>49</xdr:row>
      <xdr:rowOff>57150</xdr:rowOff>
    </xdr:from>
    <xdr:to>
      <xdr:col>11</xdr:col>
      <xdr:colOff>314325</xdr:colOff>
      <xdr:row>61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390525</xdr:colOff>
      <xdr:row>68</xdr:row>
      <xdr:rowOff>85725</xdr:rowOff>
    </xdr:from>
    <xdr:to>
      <xdr:col>13</xdr:col>
      <xdr:colOff>85725</xdr:colOff>
      <xdr:row>82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581025</xdr:colOff>
      <xdr:row>90</xdr:row>
      <xdr:rowOff>76200</xdr:rowOff>
    </xdr:from>
    <xdr:to>
      <xdr:col>12</xdr:col>
      <xdr:colOff>142875</xdr:colOff>
      <xdr:row>103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390525</xdr:colOff>
      <xdr:row>116</xdr:row>
      <xdr:rowOff>85725</xdr:rowOff>
    </xdr:from>
    <xdr:to>
      <xdr:col>11</xdr:col>
      <xdr:colOff>314325</xdr:colOff>
      <xdr:row>130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390525</xdr:colOff>
      <xdr:row>136</xdr:row>
      <xdr:rowOff>85725</xdr:rowOff>
    </xdr:from>
    <xdr:to>
      <xdr:col>12</xdr:col>
      <xdr:colOff>314325</xdr:colOff>
      <xdr:row>149</xdr:row>
      <xdr:rowOff>171450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400050</xdr:colOff>
      <xdr:row>152</xdr:row>
      <xdr:rowOff>123825</xdr:rowOff>
    </xdr:from>
    <xdr:to>
      <xdr:col>10</xdr:col>
      <xdr:colOff>304800</xdr:colOff>
      <xdr:row>165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66674</xdr:colOff>
      <xdr:row>168</xdr:row>
      <xdr:rowOff>152400</xdr:rowOff>
    </xdr:from>
    <xdr:to>
      <xdr:col>12</xdr:col>
      <xdr:colOff>66675</xdr:colOff>
      <xdr:row>181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87</xdr:row>
      <xdr:rowOff>85725</xdr:rowOff>
    </xdr:from>
    <xdr:to>
      <xdr:col>12</xdr:col>
      <xdr:colOff>238125</xdr:colOff>
      <xdr:row>101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mile Foundation" refreshedDate="46002.479016550926" createdVersion="6" refreshedVersion="6" minRefreshableVersion="3" recordCount="10">
  <cacheSource type="worksheet">
    <worksheetSource ref="A8:B18" sheet="Sheet4"/>
  </cacheSource>
  <cacheFields count="2">
    <cacheField name="SL.NO" numFmtId="0">
      <sharedItems containsSemiMixedTypes="0" containsString="0" containsNumber="1" containsInteger="1" minValue="1" maxValue="10"/>
    </cacheField>
    <cacheField name="STUDENT NAMES" numFmtId="0">
      <sharedItems count="10">
        <s v="KAVYA"/>
        <s v="LAVANYA"/>
        <s v="CHAITHANYA"/>
        <s v="SHARANYA"/>
        <s v="RAHUL"/>
        <s v="ROHITH"/>
        <s v="VIRAT"/>
        <s v="MADAM"/>
        <s v="KHAMAR"/>
        <s v="KEERT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mile Foundation" refreshedDate="46002.479651504633" createdVersion="6" refreshedVersion="6" minRefreshableVersion="3" recordCount="14">
  <cacheSource type="worksheet">
    <worksheetSource ref="A31:C45" sheet="Sheet2"/>
  </cacheSource>
  <cacheFields count="3">
    <cacheField name="SL.NO" numFmtId="0">
      <sharedItems containsSemiMixedTypes="0" containsString="0" containsNumber="1" containsInteger="1" minValue="1" maxValue="14"/>
    </cacheField>
    <cacheField name="INVOICE .NO" numFmtId="0">
      <sharedItems containsSemiMixedTypes="0" containsString="0" containsNumber="1" containsInteger="1" minValue="10089" maxValue="10089"/>
    </cacheField>
    <cacheField name="FRUIT NAMES" numFmtId="0">
      <sharedItems count="9">
        <s v="APPLE"/>
        <s v="BANANA"/>
        <s v="GRAPES"/>
        <s v="WATER MELON"/>
        <s v="MANGO"/>
        <s v="STRAWBERRY"/>
        <s v="ORANGE"/>
        <s v="KIWI"/>
        <s v="LIC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mile Foundation" refreshedDate="46002.484605787038" createdVersion="6" refreshedVersion="6" minRefreshableVersion="3" recordCount="11">
  <cacheSource type="worksheet">
    <worksheetSource ref="A86:C97" sheet="Sheet6"/>
  </cacheSource>
  <cacheFields count="3">
    <cacheField name="SL.NO" numFmtId="0">
      <sharedItems containsSemiMixedTypes="0" containsString="0" containsNumber="1" containsInteger="1" minValue="1" maxValue="11"/>
    </cacheField>
    <cacheField name="NAMES" numFmtId="0">
      <sharedItems count="11">
        <s v="SUMA"/>
        <s v="VEENA"/>
        <s v="KAVYA"/>
        <s v="PRAJWAL"/>
        <s v="MAHESH"/>
        <s v="SURESH"/>
        <s v="KEERTHI"/>
        <s v="SWEHER"/>
        <s v="IMAN"/>
        <s v=" TARA"/>
        <s v="PP"/>
      </sharedItems>
    </cacheField>
    <cacheField name="SALARY" numFmtId="0">
      <sharedItems containsSemiMixedTypes="0" containsString="0" containsNumber="1" containsInteger="1" minValue="789" maxValue="65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mile Foundation" refreshedDate="46002.824669560185" createdVersion="6" refreshedVersion="6" minRefreshableVersion="3" recordCount="23">
  <cacheSource type="worksheet">
    <worksheetSource ref="A64:J87" sheet="Sheet1"/>
  </cacheSource>
  <cacheFields count="10">
    <cacheField name="EMPLOYEE NAME" numFmtId="0">
      <sharedItems containsBlank="1" count="23">
        <s v="RAHUL"/>
        <s v="ROHIT"/>
        <s v="PRAJWAL"/>
        <s v="RAMESH"/>
        <s v="IRFAN"/>
        <s v="IMRAN"/>
        <s v="SAIF"/>
        <s v="ALI"/>
        <s v="AFSAR"/>
        <s v="AFROZ"/>
        <s v="ZAIN"/>
        <s v="ZAID"/>
        <s v="MOIN"/>
        <s v="KASHIF"/>
        <s v="ATEEF"/>
        <s v="AZEEM"/>
        <s v="SUFIYAN"/>
        <s v="MANSOOR"/>
        <s v="ADARSH"/>
        <s v="KARTHIK"/>
        <s v="HARSHA"/>
        <s v="UJWAL"/>
        <m/>
      </sharedItems>
    </cacheField>
    <cacheField name="DIGSSINATION" numFmtId="0">
      <sharedItems containsBlank="1" count="16">
        <s v="BRANCH MANAGER"/>
        <s v="SENIOR ACCOUNT"/>
        <s v="SALES EXECUTIVE"/>
        <s v="HR EXECUTIVE"/>
        <s v="WAREHOUSE SUPERVISOR"/>
        <s v="OFFIE CLERK"/>
        <s v="IT SUPPORT ENGINEER"/>
        <s v="MARKETINF EXEUTIVE"/>
        <s v="OPERATION MANGER"/>
        <s v="SOFTWARE ENGINEER"/>
        <s v="NALYST"/>
        <s v="QUALITY INSPECTOR"/>
        <s v="PROCUREMENT OFFICER"/>
        <s v="CUSTOMER SUPPORT LEAD"/>
        <s v="CIVIL ENGINEER"/>
        <m/>
      </sharedItems>
    </cacheField>
    <cacheField name="BASIC SALARY" numFmtId="0">
      <sharedItems containsString="0" containsBlank="1" containsNumber="1" containsInteger="1" minValue="9000" maxValue="30000" count="12">
        <n v="9000"/>
        <n v="12000"/>
        <n v="16000"/>
        <n v="10000"/>
        <n v="15000"/>
        <n v="25000"/>
        <n v="30000"/>
        <n v="22000"/>
        <n v="17000"/>
        <n v="19000"/>
        <n v="14000"/>
        <m/>
      </sharedItems>
    </cacheField>
    <cacheField name="D.A(24%)" numFmtId="0">
      <sharedItems containsString="0" containsBlank="1" containsNumber="1" containsInteger="1" minValue="2160" maxValue="7200" count="12">
        <n v="2160"/>
        <n v="2880"/>
        <n v="3840"/>
        <n v="2400"/>
        <n v="3600"/>
        <n v="6000"/>
        <n v="7200"/>
        <n v="5280"/>
        <n v="4080"/>
        <n v="4560"/>
        <n v="3360"/>
        <m/>
      </sharedItems>
    </cacheField>
    <cacheField name="T.A(18%)" numFmtId="0">
      <sharedItems containsString="0" containsBlank="1" containsNumber="1" containsInteger="1" minValue="1620" maxValue="5400"/>
    </cacheField>
    <cacheField name="H.R.A(50%)" numFmtId="0">
      <sharedItems containsString="0" containsBlank="1" containsNumber="1" containsInteger="1" minValue="4500" maxValue="15000" count="12">
        <n v="4500"/>
        <n v="6000"/>
        <n v="8000"/>
        <n v="5000"/>
        <n v="7500"/>
        <n v="12500"/>
        <n v="15000"/>
        <n v="11000"/>
        <n v="8500"/>
        <n v="9500"/>
        <n v="7000"/>
        <m/>
      </sharedItems>
    </cacheField>
    <cacheField name="M..(45%)" numFmtId="0">
      <sharedItems containsString="0" containsBlank="1" containsNumber="1" containsInteger="1" minValue="4050" maxValue="13500" count="12">
        <n v="4050"/>
        <n v="5400"/>
        <n v="7200"/>
        <n v="4500"/>
        <n v="6750"/>
        <n v="11250"/>
        <n v="13500"/>
        <n v="9900"/>
        <n v="7650"/>
        <n v="8550"/>
        <n v="6300"/>
        <m/>
      </sharedItems>
    </cacheField>
    <cacheField name="GROSS SALARY" numFmtId="0">
      <sharedItems containsString="0" containsBlank="1" containsNumber="1" containsInteger="1" minValue="12330" maxValue="41100" count="12">
        <n v="12330"/>
        <n v="16440"/>
        <n v="21920"/>
        <n v="13700"/>
        <n v="20550"/>
        <n v="34250"/>
        <n v="41100"/>
        <n v="30140"/>
        <n v="23290"/>
        <n v="26030"/>
        <n v="19180"/>
        <m/>
      </sharedItems>
    </cacheField>
    <cacheField name="P.F(10%)" numFmtId="0">
      <sharedItems containsString="0" containsBlank="1" containsNumber="1" containsInteger="1" minValue="1233" maxValue="4110" count="12">
        <n v="1233"/>
        <n v="1644"/>
        <n v="2192"/>
        <n v="1370"/>
        <n v="2055"/>
        <n v="3425"/>
        <n v="4110"/>
        <n v="3014"/>
        <n v="2329"/>
        <n v="2603"/>
        <n v="1918"/>
        <m/>
      </sharedItems>
    </cacheField>
    <cacheField name="NET SALARY" numFmtId="0">
      <sharedItems containsString="0" containsBlank="1" containsNumber="1" containsInteger="1" minValue="11097" maxValue="36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mile Foundation" refreshedDate="46008.524544907406" createdVersion="6" refreshedVersion="6" minRefreshableVersion="3" recordCount="20">
  <cacheSource type="worksheet">
    <worksheetSource ref="A70:I90" sheet="Sheet2"/>
  </cacheSource>
  <cacheFields count="9">
    <cacheField name="SL.NO" numFmtId="0">
      <sharedItems containsSemiMixedTypes="0" containsString="0" containsNumber="1" containsInteger="1" minValue="1" maxValue="20"/>
    </cacheField>
    <cacheField name="INVOICE.NO" numFmtId="0">
      <sharedItems containsSemiMixedTypes="0" containsString="0" containsNumber="1" containsInteger="1" minValue="7868" maxValue="7868"/>
    </cacheField>
    <cacheField name="FRUIT NAMES" numFmtId="0">
      <sharedItems count="15">
        <s v="MANGO"/>
        <s v="STRAWBERRY"/>
        <s v="ORANGE"/>
        <s v="KIWI"/>
        <s v="LICHI"/>
        <s v="APPLE"/>
        <s v="BANANA"/>
        <s v="GRAPES"/>
        <s v="WATER MELON"/>
        <s v="GOA"/>
        <s v="PAPAYA"/>
        <s v="JACKFRUIRT"/>
        <s v="PEACH"/>
        <s v="PINEAPPLE"/>
        <s v="PEAR"/>
      </sharedItems>
    </cacheField>
    <cacheField name="QUANTITY" numFmtId="0">
      <sharedItems containsSemiMixedTypes="0" containsString="0" containsNumber="1" containsInteger="1" minValue="14" maxValue="95"/>
    </cacheField>
    <cacheField name="RATE" numFmtId="0">
      <sharedItems containsSemiMixedTypes="0" containsString="0" containsNumber="1" containsInteger="1" minValue="32" maxValue="200"/>
    </cacheField>
    <cacheField name=" AMOUNT" numFmtId="0">
      <sharedItems containsSemiMixedTypes="0" containsString="0" containsNumber="1" containsInteger="1" minValue="1440" maxValue="15600"/>
    </cacheField>
    <cacheField name="CGST 17%" numFmtId="0">
      <sharedItems containsSemiMixedTypes="0" containsString="0" containsNumber="1" minValue="244.8" maxValue="2652"/>
    </cacheField>
    <cacheField name="SGST 19%" numFmtId="0">
      <sharedItems containsSemiMixedTypes="0" containsString="0" containsNumber="1" minValue="273.60000000000002" maxValue="2964"/>
    </cacheField>
    <cacheField name="TOTAL AMOUNT" numFmtId="0">
      <sharedItems containsSemiMixedTypes="0" containsString="0" containsNumber="1" minValue="1958.4" maxValue="21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Smile Foundation" refreshedDate="46008.53023935185" createdVersion="6" refreshedVersion="6" minRefreshableVersion="3" recordCount="10">
  <cacheSource type="worksheet">
    <worksheetSource ref="B20:D30" sheet="Sheet18"/>
  </cacheSource>
  <cacheFields count="3">
    <cacheField name="SL.NO" numFmtId="0">
      <sharedItems containsSemiMixedTypes="0" containsString="0" containsNumber="1" containsInteger="1" minValue="1" maxValue="10"/>
    </cacheField>
    <cacheField name="NAMES" numFmtId="0">
      <sharedItems count="10">
        <s v="KEERTHI"/>
        <s v="KOKATI"/>
        <s v="SEHER"/>
        <s v="ZAID"/>
        <s v="SUFIYAN"/>
        <s v="IRFANA"/>
        <s v="CHAITRA"/>
        <s v="KEERTHANA"/>
        <s v="PRATHIBHA"/>
        <s v="KHAMAR"/>
      </sharedItems>
    </cacheField>
    <cacheField name="SALARY" numFmtId="0">
      <sharedItems containsSemiMixedTypes="0" containsString="0" containsNumber="1" containsInteger="1" minValue="852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Smile Foundation" refreshedDate="46008.531216435185" createdVersion="6" refreshedVersion="6" minRefreshableVersion="3" recordCount="7">
  <cacheSource type="worksheet">
    <worksheetSource ref="B33:F40" sheet="Sheet18"/>
  </cacheSource>
  <cacheFields count="5">
    <cacheField name="SL.NO" numFmtId="0">
      <sharedItems containsSemiMixedTypes="0" containsString="0" containsNumber="1" containsInteger="1" minValue="1" maxValue="7"/>
    </cacheField>
    <cacheField name="NAMES" numFmtId="0">
      <sharedItems count="7">
        <s v="KITKAT"/>
        <s v="SINCKERS"/>
        <s v="5 STAR"/>
        <s v="MUNCH"/>
        <s v="MILKYBAR"/>
        <s v="KINDER JOY"/>
        <s v="DARK CHOCLATE"/>
      </sharedItems>
    </cacheField>
    <cacheField name="QUANTITY" numFmtId="0">
      <sharedItems count="6">
        <s v="8 PCS"/>
        <s v="5 PCS"/>
        <s v="6 PCS"/>
        <s v="7 PCS"/>
        <s v="10 PCS"/>
        <s v="17 PCS"/>
      </sharedItems>
    </cacheField>
    <cacheField name="RATE" numFmtId="0">
      <sharedItems count="5">
        <s v="RS 50"/>
        <s v="RS 85"/>
        <s v="RS 33"/>
        <s v="RS 78"/>
        <s v="RS 99"/>
      </sharedItems>
    </cacheField>
    <cacheField name="AMOUNT" numFmtId="0">
      <sharedItems containsSemiMixedTypes="0" containsString="0" containsNumber="1" containsInteger="1" minValue="165" maxValue="1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Smile Foundation" refreshedDate="46010.511130208331" createdVersion="6" refreshedVersion="6" minRefreshableVersion="3" recordCount="12">
  <cacheSource type="worksheet">
    <worksheetSource ref="A6:C18" sheet="Sheet5"/>
  </cacheSource>
  <cacheFields count="3">
    <cacheField name="SL.NO" numFmtId="0">
      <sharedItems containsSemiMixedTypes="0" containsString="0" containsNumber="1" containsInteger="1" minValue="1" maxValue="12"/>
    </cacheField>
    <cacheField name="MONTHS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" numFmtId="0">
      <sharedItems containsSemiMixedTypes="0" containsString="0" containsNumber="1" containsInteger="1" minValue="12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x v="0"/>
  </r>
  <r>
    <n v="2"/>
    <x v="1"/>
  </r>
  <r>
    <n v="3"/>
    <x v="2"/>
  </r>
  <r>
    <n v="4"/>
    <x v="3"/>
  </r>
  <r>
    <n v="5"/>
    <x v="4"/>
  </r>
  <r>
    <n v="6"/>
    <x v="5"/>
  </r>
  <r>
    <n v="7"/>
    <x v="6"/>
  </r>
  <r>
    <n v="8"/>
    <x v="7"/>
  </r>
  <r>
    <n v="9"/>
    <x v="8"/>
  </r>
  <r>
    <n v="10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">
  <r>
    <n v="1"/>
    <n v="10089"/>
    <x v="0"/>
  </r>
  <r>
    <n v="2"/>
    <n v="10089"/>
    <x v="1"/>
  </r>
  <r>
    <n v="3"/>
    <n v="10089"/>
    <x v="2"/>
  </r>
  <r>
    <n v="4"/>
    <n v="10089"/>
    <x v="3"/>
  </r>
  <r>
    <n v="5"/>
    <n v="10089"/>
    <x v="4"/>
  </r>
  <r>
    <n v="6"/>
    <n v="10089"/>
    <x v="5"/>
  </r>
  <r>
    <n v="7"/>
    <n v="10089"/>
    <x v="6"/>
  </r>
  <r>
    <n v="8"/>
    <n v="10089"/>
    <x v="7"/>
  </r>
  <r>
    <n v="9"/>
    <n v="10089"/>
    <x v="8"/>
  </r>
  <r>
    <n v="10"/>
    <n v="10089"/>
    <x v="0"/>
  </r>
  <r>
    <n v="11"/>
    <n v="10089"/>
    <x v="1"/>
  </r>
  <r>
    <n v="12"/>
    <n v="10089"/>
    <x v="2"/>
  </r>
  <r>
    <n v="13"/>
    <n v="10089"/>
    <x v="3"/>
  </r>
  <r>
    <n v="14"/>
    <n v="10089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">
  <r>
    <n v="1"/>
    <x v="0"/>
    <n v="5497"/>
  </r>
  <r>
    <n v="2"/>
    <x v="1"/>
    <n v="4569"/>
  </r>
  <r>
    <n v="3"/>
    <x v="2"/>
    <n v="1245"/>
  </r>
  <r>
    <n v="4"/>
    <x v="3"/>
    <n v="6589"/>
  </r>
  <r>
    <n v="5"/>
    <x v="4"/>
    <n v="1478"/>
  </r>
  <r>
    <n v="6"/>
    <x v="5"/>
    <n v="2456"/>
  </r>
  <r>
    <n v="7"/>
    <x v="6"/>
    <n v="897"/>
  </r>
  <r>
    <n v="8"/>
    <x v="7"/>
    <n v="4789"/>
  </r>
  <r>
    <n v="9"/>
    <x v="8"/>
    <n v="5876"/>
  </r>
  <r>
    <n v="10"/>
    <x v="9"/>
    <n v="5283"/>
  </r>
  <r>
    <n v="11"/>
    <x v="10"/>
    <n v="78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3">
  <r>
    <x v="0"/>
    <x v="0"/>
    <x v="0"/>
    <x v="0"/>
    <n v="1620"/>
    <x v="0"/>
    <x v="0"/>
    <x v="0"/>
    <x v="0"/>
    <n v="11097"/>
  </r>
  <r>
    <x v="1"/>
    <x v="1"/>
    <x v="1"/>
    <x v="1"/>
    <n v="2160"/>
    <x v="1"/>
    <x v="1"/>
    <x v="1"/>
    <x v="1"/>
    <n v="14796"/>
  </r>
  <r>
    <x v="2"/>
    <x v="2"/>
    <x v="2"/>
    <x v="2"/>
    <n v="2880"/>
    <x v="2"/>
    <x v="2"/>
    <x v="2"/>
    <x v="2"/>
    <n v="19728"/>
  </r>
  <r>
    <x v="3"/>
    <x v="3"/>
    <x v="3"/>
    <x v="3"/>
    <n v="1800"/>
    <x v="3"/>
    <x v="3"/>
    <x v="3"/>
    <x v="3"/>
    <n v="12330"/>
  </r>
  <r>
    <x v="4"/>
    <x v="4"/>
    <x v="4"/>
    <x v="4"/>
    <n v="2700"/>
    <x v="4"/>
    <x v="4"/>
    <x v="4"/>
    <x v="4"/>
    <n v="18495"/>
  </r>
  <r>
    <x v="5"/>
    <x v="5"/>
    <x v="1"/>
    <x v="1"/>
    <n v="2160"/>
    <x v="1"/>
    <x v="1"/>
    <x v="1"/>
    <x v="1"/>
    <n v="14796"/>
  </r>
  <r>
    <x v="6"/>
    <x v="6"/>
    <x v="5"/>
    <x v="5"/>
    <n v="4500"/>
    <x v="5"/>
    <x v="5"/>
    <x v="5"/>
    <x v="5"/>
    <n v="30825"/>
  </r>
  <r>
    <x v="7"/>
    <x v="7"/>
    <x v="6"/>
    <x v="6"/>
    <n v="5400"/>
    <x v="6"/>
    <x v="6"/>
    <x v="6"/>
    <x v="6"/>
    <n v="36990"/>
  </r>
  <r>
    <x v="8"/>
    <x v="8"/>
    <x v="7"/>
    <x v="7"/>
    <n v="3960"/>
    <x v="7"/>
    <x v="7"/>
    <x v="7"/>
    <x v="7"/>
    <n v="27126"/>
  </r>
  <r>
    <x v="9"/>
    <x v="9"/>
    <x v="6"/>
    <x v="6"/>
    <n v="5400"/>
    <x v="6"/>
    <x v="6"/>
    <x v="6"/>
    <x v="6"/>
    <n v="36990"/>
  </r>
  <r>
    <x v="10"/>
    <x v="10"/>
    <x v="8"/>
    <x v="8"/>
    <n v="3060"/>
    <x v="8"/>
    <x v="8"/>
    <x v="8"/>
    <x v="8"/>
    <n v="20961"/>
  </r>
  <r>
    <x v="11"/>
    <x v="11"/>
    <x v="9"/>
    <x v="9"/>
    <n v="3420"/>
    <x v="9"/>
    <x v="9"/>
    <x v="9"/>
    <x v="9"/>
    <n v="23427"/>
  </r>
  <r>
    <x v="12"/>
    <x v="12"/>
    <x v="10"/>
    <x v="10"/>
    <n v="2520"/>
    <x v="10"/>
    <x v="10"/>
    <x v="10"/>
    <x v="10"/>
    <n v="17262"/>
  </r>
  <r>
    <x v="13"/>
    <x v="13"/>
    <x v="0"/>
    <x v="0"/>
    <n v="1620"/>
    <x v="0"/>
    <x v="0"/>
    <x v="0"/>
    <x v="0"/>
    <n v="11097"/>
  </r>
  <r>
    <x v="14"/>
    <x v="2"/>
    <x v="1"/>
    <x v="1"/>
    <n v="2160"/>
    <x v="1"/>
    <x v="1"/>
    <x v="1"/>
    <x v="1"/>
    <n v="14796"/>
  </r>
  <r>
    <x v="15"/>
    <x v="3"/>
    <x v="2"/>
    <x v="2"/>
    <n v="2880"/>
    <x v="2"/>
    <x v="2"/>
    <x v="2"/>
    <x v="2"/>
    <n v="19728"/>
  </r>
  <r>
    <x v="16"/>
    <x v="4"/>
    <x v="3"/>
    <x v="3"/>
    <n v="1800"/>
    <x v="3"/>
    <x v="3"/>
    <x v="3"/>
    <x v="3"/>
    <n v="12330"/>
  </r>
  <r>
    <x v="17"/>
    <x v="5"/>
    <x v="4"/>
    <x v="4"/>
    <n v="2700"/>
    <x v="4"/>
    <x v="4"/>
    <x v="4"/>
    <x v="4"/>
    <n v="18495"/>
  </r>
  <r>
    <x v="18"/>
    <x v="6"/>
    <x v="1"/>
    <x v="1"/>
    <n v="2160"/>
    <x v="1"/>
    <x v="1"/>
    <x v="1"/>
    <x v="1"/>
    <n v="14796"/>
  </r>
  <r>
    <x v="19"/>
    <x v="7"/>
    <x v="5"/>
    <x v="5"/>
    <n v="4500"/>
    <x v="5"/>
    <x v="5"/>
    <x v="5"/>
    <x v="5"/>
    <n v="30825"/>
  </r>
  <r>
    <x v="20"/>
    <x v="8"/>
    <x v="6"/>
    <x v="6"/>
    <n v="5400"/>
    <x v="6"/>
    <x v="6"/>
    <x v="6"/>
    <x v="6"/>
    <n v="36990"/>
  </r>
  <r>
    <x v="21"/>
    <x v="14"/>
    <x v="7"/>
    <x v="7"/>
    <n v="3960"/>
    <x v="7"/>
    <x v="7"/>
    <x v="7"/>
    <x v="7"/>
    <n v="27126"/>
  </r>
  <r>
    <x v="22"/>
    <x v="15"/>
    <x v="11"/>
    <x v="11"/>
    <m/>
    <x v="11"/>
    <x v="11"/>
    <x v="11"/>
    <x v="11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">
  <r>
    <n v="1"/>
    <n v="7868"/>
    <x v="0"/>
    <n v="35"/>
    <n v="200"/>
    <n v="7000"/>
    <n v="1190"/>
    <n v="1330"/>
    <n v="9520"/>
  </r>
  <r>
    <n v="2"/>
    <n v="7868"/>
    <x v="1"/>
    <n v="65"/>
    <n v="150"/>
    <n v="9750"/>
    <n v="1657.5000000000002"/>
    <n v="1852.5"/>
    <n v="13260"/>
  </r>
  <r>
    <n v="3"/>
    <n v="7868"/>
    <x v="2"/>
    <n v="75"/>
    <n v="70"/>
    <n v="5250"/>
    <n v="892.50000000000011"/>
    <n v="997.5"/>
    <n v="7140"/>
  </r>
  <r>
    <n v="4"/>
    <n v="7868"/>
    <x v="3"/>
    <n v="26"/>
    <n v="122"/>
    <n v="3172"/>
    <n v="539.24"/>
    <n v="602.68000000000006"/>
    <n v="4313.92"/>
  </r>
  <r>
    <n v="5"/>
    <n v="7868"/>
    <x v="4"/>
    <n v="95"/>
    <n v="120"/>
    <n v="11400"/>
    <n v="1938.0000000000002"/>
    <n v="2166"/>
    <n v="15504"/>
  </r>
  <r>
    <n v="6"/>
    <n v="7868"/>
    <x v="5"/>
    <n v="14"/>
    <n v="130"/>
    <n v="1820"/>
    <n v="309.40000000000003"/>
    <n v="345.8"/>
    <n v="2475.1999999999998"/>
  </r>
  <r>
    <n v="7"/>
    <n v="7868"/>
    <x v="6"/>
    <n v="75"/>
    <n v="60"/>
    <n v="4500"/>
    <n v="765"/>
    <n v="855"/>
    <n v="6120"/>
  </r>
  <r>
    <n v="8"/>
    <n v="7868"/>
    <x v="7"/>
    <n v="35"/>
    <n v="80"/>
    <n v="2800"/>
    <n v="476.00000000000006"/>
    <n v="532"/>
    <n v="3808"/>
  </r>
  <r>
    <n v="9"/>
    <n v="7868"/>
    <x v="8"/>
    <n v="69"/>
    <n v="100"/>
    <n v="6900"/>
    <n v="1173"/>
    <n v="1311"/>
    <n v="9384"/>
  </r>
  <r>
    <n v="10"/>
    <n v="7868"/>
    <x v="0"/>
    <n v="23"/>
    <n v="200"/>
    <n v="4600"/>
    <n v="782"/>
    <n v="874"/>
    <n v="6256"/>
  </r>
  <r>
    <n v="11"/>
    <n v="7868"/>
    <x v="1"/>
    <n v="34"/>
    <n v="80"/>
    <n v="2720"/>
    <n v="462.40000000000003"/>
    <n v="516.79999999999995"/>
    <n v="3699.2"/>
  </r>
  <r>
    <n v="12"/>
    <n v="7868"/>
    <x v="9"/>
    <n v="42"/>
    <n v="100"/>
    <n v="4200"/>
    <n v="714"/>
    <n v="798"/>
    <n v="5712"/>
  </r>
  <r>
    <n v="13"/>
    <n v="7868"/>
    <x v="5"/>
    <n v="68"/>
    <n v="200"/>
    <n v="13600"/>
    <n v="2312"/>
    <n v="2584"/>
    <n v="18496"/>
  </r>
  <r>
    <n v="14"/>
    <n v="7868"/>
    <x v="3"/>
    <n v="78"/>
    <n v="200"/>
    <n v="15600"/>
    <n v="2652"/>
    <n v="2964"/>
    <n v="21216"/>
  </r>
  <r>
    <n v="15"/>
    <n v="7868"/>
    <x v="10"/>
    <n v="69"/>
    <n v="130"/>
    <n v="8970"/>
    <n v="1524.9"/>
    <n v="1704.3"/>
    <n v="12199.2"/>
  </r>
  <r>
    <n v="16"/>
    <n v="7868"/>
    <x v="11"/>
    <n v="41"/>
    <n v="100"/>
    <n v="4100"/>
    <n v="697"/>
    <n v="779"/>
    <n v="5576"/>
  </r>
  <r>
    <n v="17"/>
    <n v="7868"/>
    <x v="0"/>
    <n v="32"/>
    <n v="45"/>
    <n v="1440"/>
    <n v="244.8"/>
    <n v="273.60000000000002"/>
    <n v="1958.4"/>
  </r>
  <r>
    <n v="18"/>
    <n v="7868"/>
    <x v="12"/>
    <n v="84"/>
    <n v="59"/>
    <n v="4956"/>
    <n v="842.5200000000001"/>
    <n v="941.64"/>
    <n v="6740.16"/>
  </r>
  <r>
    <n v="19"/>
    <n v="7868"/>
    <x v="13"/>
    <n v="78"/>
    <n v="57"/>
    <n v="4446"/>
    <n v="755.82"/>
    <n v="844.74"/>
    <n v="6046.5599999999995"/>
  </r>
  <r>
    <n v="20"/>
    <n v="7868"/>
    <x v="14"/>
    <n v="95"/>
    <n v="32"/>
    <n v="3040"/>
    <n v="516.80000000000007"/>
    <n v="577.6"/>
    <n v="4134.399999999999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">
  <r>
    <n v="1"/>
    <x v="0"/>
    <n v="5000"/>
  </r>
  <r>
    <n v="2"/>
    <x v="1"/>
    <n v="4000"/>
  </r>
  <r>
    <n v="3"/>
    <x v="2"/>
    <n v="9000"/>
  </r>
  <r>
    <n v="4"/>
    <x v="3"/>
    <n v="9500"/>
  </r>
  <r>
    <n v="5"/>
    <x v="4"/>
    <n v="4200"/>
  </r>
  <r>
    <n v="6"/>
    <x v="5"/>
    <n v="3500"/>
  </r>
  <r>
    <n v="7"/>
    <x v="6"/>
    <n v="15000"/>
  </r>
  <r>
    <n v="8"/>
    <x v="7"/>
    <n v="45000"/>
  </r>
  <r>
    <n v="9"/>
    <x v="8"/>
    <n v="852"/>
  </r>
  <r>
    <n v="10"/>
    <x v="9"/>
    <n v="136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7">
  <r>
    <n v="1"/>
    <x v="0"/>
    <x v="0"/>
    <x v="0"/>
    <n v="400"/>
  </r>
  <r>
    <n v="2"/>
    <x v="1"/>
    <x v="1"/>
    <x v="0"/>
    <n v="250"/>
  </r>
  <r>
    <n v="3"/>
    <x v="2"/>
    <x v="2"/>
    <x v="0"/>
    <n v="300"/>
  </r>
  <r>
    <n v="4"/>
    <x v="3"/>
    <x v="3"/>
    <x v="1"/>
    <n v="595"/>
  </r>
  <r>
    <n v="5"/>
    <x v="4"/>
    <x v="1"/>
    <x v="2"/>
    <n v="165"/>
  </r>
  <r>
    <n v="6"/>
    <x v="5"/>
    <x v="4"/>
    <x v="3"/>
    <n v="780"/>
  </r>
  <r>
    <n v="7"/>
    <x v="6"/>
    <x v="5"/>
    <x v="4"/>
    <n v="168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2">
  <r>
    <n v="1"/>
    <x v="0"/>
    <n v="45"/>
  </r>
  <r>
    <n v="2"/>
    <x v="1"/>
    <n v="35"/>
  </r>
  <r>
    <n v="3"/>
    <x v="2"/>
    <n v="96"/>
  </r>
  <r>
    <n v="4"/>
    <x v="3"/>
    <n v="57"/>
  </r>
  <r>
    <n v="5"/>
    <x v="4"/>
    <n v="12"/>
  </r>
  <r>
    <n v="6"/>
    <x v="5"/>
    <n v="36"/>
  </r>
  <r>
    <n v="7"/>
    <x v="6"/>
    <n v="56"/>
  </r>
  <r>
    <n v="8"/>
    <x v="7"/>
    <n v="75"/>
  </r>
  <r>
    <n v="9"/>
    <x v="8"/>
    <n v="26"/>
  </r>
  <r>
    <n v="10"/>
    <x v="9"/>
    <n v="96"/>
  </r>
  <r>
    <n v="11"/>
    <x v="10"/>
    <n v="75"/>
  </r>
  <r>
    <n v="12"/>
    <x v="11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91:C276" firstHeaderRow="1" firstDataRow="1" firstDataCol="1"/>
  <pivotFields count="10">
    <pivotField axis="axisRow" showAll="0">
      <items count="24">
        <item x="18"/>
        <item x="9"/>
        <item x="8"/>
        <item x="7"/>
        <item x="14"/>
        <item x="15"/>
        <item x="20"/>
        <item x="5"/>
        <item x="4"/>
        <item x="19"/>
        <item x="13"/>
        <item x="17"/>
        <item x="12"/>
        <item x="2"/>
        <item x="0"/>
        <item x="3"/>
        <item x="1"/>
        <item x="6"/>
        <item x="16"/>
        <item x="21"/>
        <item x="11"/>
        <item x="10"/>
        <item x="22"/>
        <item t="default"/>
      </items>
    </pivotField>
    <pivotField axis="axisRow" showAll="0">
      <items count="17">
        <item x="0"/>
        <item x="14"/>
        <item x="13"/>
        <item x="3"/>
        <item x="6"/>
        <item x="7"/>
        <item x="10"/>
        <item x="5"/>
        <item x="8"/>
        <item x="12"/>
        <item x="11"/>
        <item x="2"/>
        <item x="1"/>
        <item x="9"/>
        <item x="4"/>
        <item x="15"/>
        <item t="default"/>
      </items>
    </pivotField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showAll="0"/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axis="axisRow" showAll="0">
      <items count="13">
        <item x="0"/>
        <item x="3"/>
        <item x="1"/>
        <item x="10"/>
        <item x="4"/>
        <item x="2"/>
        <item x="8"/>
        <item x="9"/>
        <item x="7"/>
        <item x="5"/>
        <item x="6"/>
        <item x="11"/>
        <item t="default"/>
      </items>
    </pivotField>
    <pivotField showAll="0"/>
  </pivotFields>
  <rowFields count="8">
    <field x="0"/>
    <field x="1"/>
    <field x="2"/>
    <field x="3"/>
    <field x="5"/>
    <field x="6"/>
    <field x="7"/>
    <field x="8"/>
  </rowFields>
  <rowItems count="185">
    <i>
      <x/>
    </i>
    <i r="1">
      <x v="4"/>
    </i>
    <i r="2">
      <x v="2"/>
    </i>
    <i r="3">
      <x v="2"/>
    </i>
    <i r="4">
      <x v="2"/>
    </i>
    <i r="5">
      <x v="2"/>
    </i>
    <i r="6">
      <x v="2"/>
    </i>
    <i r="7">
      <x v="2"/>
    </i>
    <i>
      <x v="1"/>
    </i>
    <i r="1">
      <x v="13"/>
    </i>
    <i r="2">
      <x v="10"/>
    </i>
    <i r="3">
      <x v="10"/>
    </i>
    <i r="4">
      <x v="10"/>
    </i>
    <i r="5">
      <x v="10"/>
    </i>
    <i r="6">
      <x v="10"/>
    </i>
    <i r="7">
      <x v="10"/>
    </i>
    <i>
      <x v="2"/>
    </i>
    <i r="1">
      <x v="8"/>
    </i>
    <i r="2">
      <x v="8"/>
    </i>
    <i r="3">
      <x v="8"/>
    </i>
    <i r="4">
      <x v="8"/>
    </i>
    <i r="5">
      <x v="8"/>
    </i>
    <i r="6">
      <x v="8"/>
    </i>
    <i r="7">
      <x v="8"/>
    </i>
    <i>
      <x v="3"/>
    </i>
    <i r="1">
      <x v="5"/>
    </i>
    <i r="2">
      <x v="10"/>
    </i>
    <i r="3">
      <x v="10"/>
    </i>
    <i r="4">
      <x v="10"/>
    </i>
    <i r="5">
      <x v="10"/>
    </i>
    <i r="6">
      <x v="10"/>
    </i>
    <i r="7">
      <x v="10"/>
    </i>
    <i>
      <x v="4"/>
    </i>
    <i r="1">
      <x v="11"/>
    </i>
    <i r="2">
      <x v="2"/>
    </i>
    <i r="3">
      <x v="2"/>
    </i>
    <i r="4">
      <x v="2"/>
    </i>
    <i r="5">
      <x v="2"/>
    </i>
    <i r="6">
      <x v="2"/>
    </i>
    <i r="7">
      <x v="2"/>
    </i>
    <i>
      <x v="5"/>
    </i>
    <i r="1">
      <x v="3"/>
    </i>
    <i r="2">
      <x v="5"/>
    </i>
    <i r="3">
      <x v="5"/>
    </i>
    <i r="4">
      <x v="5"/>
    </i>
    <i r="5">
      <x v="5"/>
    </i>
    <i r="6">
      <x v="5"/>
    </i>
    <i r="7">
      <x v="5"/>
    </i>
    <i>
      <x v="6"/>
    </i>
    <i r="1">
      <x v="8"/>
    </i>
    <i r="2">
      <x v="10"/>
    </i>
    <i r="3">
      <x v="10"/>
    </i>
    <i r="4">
      <x v="10"/>
    </i>
    <i r="5">
      <x v="10"/>
    </i>
    <i r="6">
      <x v="10"/>
    </i>
    <i r="7">
      <x v="10"/>
    </i>
    <i>
      <x v="7"/>
    </i>
    <i r="1">
      <x v="7"/>
    </i>
    <i r="2">
      <x v="2"/>
    </i>
    <i r="3">
      <x v="2"/>
    </i>
    <i r="4">
      <x v="2"/>
    </i>
    <i r="5">
      <x v="2"/>
    </i>
    <i r="6">
      <x v="2"/>
    </i>
    <i r="7">
      <x v="2"/>
    </i>
    <i>
      <x v="8"/>
    </i>
    <i r="1">
      <x v="14"/>
    </i>
    <i r="2">
      <x v="4"/>
    </i>
    <i r="3">
      <x v="4"/>
    </i>
    <i r="4">
      <x v="4"/>
    </i>
    <i r="5">
      <x v="4"/>
    </i>
    <i r="6">
      <x v="4"/>
    </i>
    <i r="7">
      <x v="4"/>
    </i>
    <i>
      <x v="9"/>
    </i>
    <i r="1">
      <x v="5"/>
    </i>
    <i r="2">
      <x v="9"/>
    </i>
    <i r="3">
      <x v="9"/>
    </i>
    <i r="4">
      <x v="9"/>
    </i>
    <i r="5">
      <x v="9"/>
    </i>
    <i r="6">
      <x v="9"/>
    </i>
    <i r="7">
      <x v="9"/>
    </i>
    <i>
      <x v="10"/>
    </i>
    <i r="1">
      <x v="2"/>
    </i>
    <i r="2">
      <x/>
    </i>
    <i r="3">
      <x/>
    </i>
    <i r="4">
      <x/>
    </i>
    <i r="5">
      <x/>
    </i>
    <i r="6">
      <x/>
    </i>
    <i r="7">
      <x/>
    </i>
    <i>
      <x v="11"/>
    </i>
    <i r="1">
      <x v="7"/>
    </i>
    <i r="2">
      <x v="4"/>
    </i>
    <i r="3">
      <x v="4"/>
    </i>
    <i r="4">
      <x v="4"/>
    </i>
    <i r="5">
      <x v="4"/>
    </i>
    <i r="6">
      <x v="4"/>
    </i>
    <i r="7">
      <x v="4"/>
    </i>
    <i>
      <x v="12"/>
    </i>
    <i r="1">
      <x v="9"/>
    </i>
    <i r="2">
      <x v="3"/>
    </i>
    <i r="3">
      <x v="3"/>
    </i>
    <i r="4">
      <x v="3"/>
    </i>
    <i r="5">
      <x v="3"/>
    </i>
    <i r="6">
      <x v="3"/>
    </i>
    <i r="7">
      <x v="3"/>
    </i>
    <i>
      <x v="13"/>
    </i>
    <i r="1">
      <x v="11"/>
    </i>
    <i r="2">
      <x v="5"/>
    </i>
    <i r="3">
      <x v="5"/>
    </i>
    <i r="4">
      <x v="5"/>
    </i>
    <i r="5">
      <x v="5"/>
    </i>
    <i r="6">
      <x v="5"/>
    </i>
    <i r="7">
      <x v="5"/>
    </i>
    <i>
      <x v="14"/>
    </i>
    <i r="1">
      <x/>
    </i>
    <i r="2">
      <x/>
    </i>
    <i r="3">
      <x/>
    </i>
    <i r="4">
      <x/>
    </i>
    <i r="5">
      <x/>
    </i>
    <i r="6">
      <x/>
    </i>
    <i r="7">
      <x/>
    </i>
    <i>
      <x v="15"/>
    </i>
    <i r="1">
      <x v="3"/>
    </i>
    <i r="2">
      <x v="1"/>
    </i>
    <i r="3">
      <x v="1"/>
    </i>
    <i r="4">
      <x v="1"/>
    </i>
    <i r="5">
      <x v="1"/>
    </i>
    <i r="6">
      <x v="1"/>
    </i>
    <i r="7">
      <x v="1"/>
    </i>
    <i>
      <x v="16"/>
    </i>
    <i r="1">
      <x v="12"/>
    </i>
    <i r="2">
      <x v="2"/>
    </i>
    <i r="3">
      <x v="2"/>
    </i>
    <i r="4">
      <x v="2"/>
    </i>
    <i r="5">
      <x v="2"/>
    </i>
    <i r="6">
      <x v="2"/>
    </i>
    <i r="7">
      <x v="2"/>
    </i>
    <i>
      <x v="17"/>
    </i>
    <i r="1">
      <x v="4"/>
    </i>
    <i r="2">
      <x v="9"/>
    </i>
    <i r="3">
      <x v="9"/>
    </i>
    <i r="4">
      <x v="9"/>
    </i>
    <i r="5">
      <x v="9"/>
    </i>
    <i r="6">
      <x v="9"/>
    </i>
    <i r="7">
      <x v="9"/>
    </i>
    <i>
      <x v="18"/>
    </i>
    <i r="1">
      <x v="14"/>
    </i>
    <i r="2">
      <x v="1"/>
    </i>
    <i r="3">
      <x v="1"/>
    </i>
    <i r="4">
      <x v="1"/>
    </i>
    <i r="5">
      <x v="1"/>
    </i>
    <i r="6">
      <x v="1"/>
    </i>
    <i r="7">
      <x v="1"/>
    </i>
    <i>
      <x v="19"/>
    </i>
    <i r="1">
      <x v="1"/>
    </i>
    <i r="2">
      <x v="8"/>
    </i>
    <i r="3">
      <x v="8"/>
    </i>
    <i r="4">
      <x v="8"/>
    </i>
    <i r="5">
      <x v="8"/>
    </i>
    <i r="6">
      <x v="8"/>
    </i>
    <i r="7">
      <x v="8"/>
    </i>
    <i>
      <x v="20"/>
    </i>
    <i r="1">
      <x v="10"/>
    </i>
    <i r="2">
      <x v="7"/>
    </i>
    <i r="3">
      <x v="7"/>
    </i>
    <i r="4">
      <x v="7"/>
    </i>
    <i r="5">
      <x v="7"/>
    </i>
    <i r="6">
      <x v="7"/>
    </i>
    <i r="7">
      <x v="7"/>
    </i>
    <i>
      <x v="21"/>
    </i>
    <i r="1">
      <x v="6"/>
    </i>
    <i r="2">
      <x v="6"/>
    </i>
    <i r="3">
      <x v="6"/>
    </i>
    <i r="4">
      <x v="6"/>
    </i>
    <i r="5">
      <x v="6"/>
    </i>
    <i r="6">
      <x v="6"/>
    </i>
    <i r="7">
      <x v="6"/>
    </i>
    <i>
      <x v="22"/>
    </i>
    <i r="1">
      <x v="15"/>
    </i>
    <i r="2">
      <x v="11"/>
    </i>
    <i r="3">
      <x v="11"/>
    </i>
    <i r="4">
      <x v="11"/>
    </i>
    <i r="5">
      <x v="11"/>
    </i>
    <i r="6">
      <x v="11"/>
    </i>
    <i r="7"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3" firstHeaderRow="0" firstDataRow="1" firstDataCol="1"/>
  <pivotFields count="3">
    <pivotField dataField="1" showAll="0"/>
    <pivotField dataField="1" showAll="0"/>
    <pivotField axis="axisRow" showAll="0">
      <items count="10">
        <item x="0"/>
        <item x="1"/>
        <item x="2"/>
        <item x="7"/>
        <item x="8"/>
        <item x="4"/>
        <item x="6"/>
        <item x="5"/>
        <item x="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 .NO" fld="1" baseField="0" baseItem="0"/>
    <dataField name="Sum of SL.N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04:M120" firstHeaderRow="0" firstDataRow="1" firstDataCol="1"/>
  <pivotFields count="9">
    <pivotField dataField="1" showAll="0"/>
    <pivotField dataField="1" showAll="0"/>
    <pivotField axis="axisRow" showAll="0">
      <items count="16">
        <item x="5"/>
        <item x="6"/>
        <item x="9"/>
        <item x="7"/>
        <item x="11"/>
        <item x="3"/>
        <item x="4"/>
        <item x="0"/>
        <item x="2"/>
        <item x="10"/>
        <item x="12"/>
        <item x="14"/>
        <item x="13"/>
        <item x="1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L.NO" fld="0" baseField="0" baseItem="0"/>
    <dataField name="Sum of INVOICE.NO" fld="1" baseField="0" baseItem="0"/>
    <dataField name="Sum of QUANTITY" fld="3" baseField="0" baseItem="0"/>
    <dataField name="Sum of RATE" fld="4" baseField="0" baseItem="0"/>
    <dataField name="Sum of  AMOUNT" fld="5" baseField="0" baseItem="0"/>
    <dataField name="Sum of CGST 17%" fld="6" baseField="0" baseItem="0"/>
    <dataField name="Sum of SGST 19%" fld="7" baseField="0" baseItem="0"/>
    <dataField name="Sum of TOTAL AMOUNT" fld="8" baseField="0" baseItem="0"/>
  </dataFields>
  <chartFormats count="8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4" firstHeaderRow="1" firstDataRow="1" firstDataCol="1"/>
  <pivotFields count="2">
    <pivotField dataField="1" showAll="0"/>
    <pivotField axis="axisRow" showAll="0">
      <items count="11">
        <item x="2"/>
        <item x="0"/>
        <item x="9"/>
        <item x="8"/>
        <item x="1"/>
        <item x="7"/>
        <item x="4"/>
        <item x="5"/>
        <item x="3"/>
        <item x="6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L.N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40:K61" firstHeaderRow="0" firstDataRow="1" firstDataCol="1"/>
  <pivotFields count="5">
    <pivotField dataField="1" showAll="0"/>
    <pivotField axis="axisRow" showAll="0">
      <items count="8">
        <item x="2"/>
        <item x="6"/>
        <item x="5"/>
        <item x="0"/>
        <item x="4"/>
        <item x="3"/>
        <item x="1"/>
        <item t="default"/>
      </items>
    </pivotField>
    <pivotField axis="axisRow" showAll="0">
      <items count="7">
        <item x="4"/>
        <item x="5"/>
        <item x="1"/>
        <item x="2"/>
        <item x="3"/>
        <item x="0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</pivotFields>
  <rowFields count="3">
    <field x="2"/>
    <field x="1"/>
    <field x="3"/>
  </rowFields>
  <rowItems count="21">
    <i>
      <x/>
    </i>
    <i r="1">
      <x v="2"/>
    </i>
    <i r="2">
      <x v="2"/>
    </i>
    <i>
      <x v="1"/>
    </i>
    <i r="1">
      <x v="1"/>
    </i>
    <i r="2">
      <x v="4"/>
    </i>
    <i>
      <x v="2"/>
    </i>
    <i r="1">
      <x v="4"/>
    </i>
    <i r="2">
      <x/>
    </i>
    <i r="1">
      <x v="6"/>
    </i>
    <i r="2">
      <x v="1"/>
    </i>
    <i>
      <x v="3"/>
    </i>
    <i r="1">
      <x/>
    </i>
    <i r="2">
      <x v="1"/>
    </i>
    <i>
      <x v="4"/>
    </i>
    <i r="1">
      <x v="5"/>
    </i>
    <i r="2">
      <x v="3"/>
    </i>
    <i>
      <x v="5"/>
    </i>
    <i r="1">
      <x v="3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L.NO" fld="0" baseField="0" baseItem="0"/>
    <dataField name="Sum of AMOUNT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P16:R27" firstHeaderRow="0" firstDataRow="1" firstDataCol="1"/>
  <pivotFields count="3">
    <pivotField dataField="1" showAll="0"/>
    <pivotField axis="axisRow" showAll="0">
      <items count="11">
        <item x="6"/>
        <item x="5"/>
        <item x="7"/>
        <item x="0"/>
        <item x="9"/>
        <item x="1"/>
        <item x="8"/>
        <item x="2"/>
        <item x="4"/>
        <item x="3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L.NO" fld="0" baseField="0" baseItem="0"/>
    <dataField name="Sum of SALAR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5" firstHeaderRow="0" firstDataRow="1" firstDataCol="1"/>
  <pivotFields count="3">
    <pivotField dataField="1" showAll="0"/>
    <pivotField axis="axisRow" showAll="0">
      <items count="12">
        <item x="9"/>
        <item x="8"/>
        <item x="2"/>
        <item x="6"/>
        <item x="4"/>
        <item x="10"/>
        <item x="3"/>
        <item x="0"/>
        <item x="5"/>
        <item x="7"/>
        <item x="1"/>
        <item t="default"/>
      </items>
    </pivotField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L.NO" fld="0" baseField="0" baseItem="0"/>
    <dataField name="Sum of SALA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9:S22" firstHeaderRow="0" firstDataRow="1" firstDataCol="1"/>
  <pivotFields count="3"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L.NO" fld="0" baseField="0" baseItem="0"/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F101:H113" firstHeaderRow="0" firstDataRow="1" firstDataCol="1"/>
  <pivotFields count="3">
    <pivotField dataField="1" showAll="0"/>
    <pivotField axis="axisRow" showAll="0">
      <items count="12">
        <item x="9"/>
        <item x="8"/>
        <item x="2"/>
        <item x="6"/>
        <item x="4"/>
        <item x="10"/>
        <item x="3"/>
        <item x="0"/>
        <item x="5"/>
        <item x="7"/>
        <item x="1"/>
        <item t="default"/>
      </items>
    </pivotField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L.NO" fld="0" baseField="0" baseItem="0"/>
    <dataField name="Sum of SALAR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6"/>
  <sheetViews>
    <sheetView topLeftCell="A43" workbookViewId="0">
      <selection activeCell="J35" sqref="J35"/>
    </sheetView>
  </sheetViews>
  <sheetFormatPr defaultRowHeight="15" x14ac:dyDescent="0.25"/>
  <cols>
    <col min="1" max="1" width="15.85546875" customWidth="1"/>
    <col min="2" max="2" width="24.85546875" customWidth="1"/>
    <col min="3" max="3" width="28.85546875" customWidth="1"/>
    <col min="6" max="6" width="15.140625" customWidth="1"/>
    <col min="8" max="8" width="13.7109375" customWidth="1"/>
    <col min="10" max="10" width="11.285156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0" x14ac:dyDescent="0.25">
      <c r="A3">
        <v>1</v>
      </c>
      <c r="B3">
        <v>5</v>
      </c>
      <c r="C3">
        <v>55</v>
      </c>
      <c r="D3">
        <v>126</v>
      </c>
      <c r="E3">
        <v>155</v>
      </c>
      <c r="F3">
        <v>222</v>
      </c>
      <c r="G3">
        <f>B3+C3</f>
        <v>60</v>
      </c>
      <c r="H3">
        <f>C3-B3</f>
        <v>50</v>
      </c>
      <c r="I3">
        <f>D3*E3</f>
        <v>19530</v>
      </c>
      <c r="J3">
        <f>E3/F3</f>
        <v>0.69819819819819817</v>
      </c>
    </row>
    <row r="4" spans="1:10" x14ac:dyDescent="0.25">
      <c r="A4">
        <v>2</v>
      </c>
      <c r="B4">
        <v>8</v>
      </c>
      <c r="C4">
        <v>52</v>
      </c>
      <c r="D4">
        <v>106</v>
      </c>
      <c r="E4">
        <v>165</v>
      </c>
      <c r="F4">
        <v>212</v>
      </c>
      <c r="G4">
        <f>B4+C4</f>
        <v>60</v>
      </c>
      <c r="H4">
        <f>C4-B4</f>
        <v>44</v>
      </c>
      <c r="I4">
        <f t="shared" ref="I4:I22" si="0">D4*E4</f>
        <v>17490</v>
      </c>
      <c r="J4">
        <f t="shared" ref="J4:J22" si="1">E4/F4</f>
        <v>0.77830188679245282</v>
      </c>
    </row>
    <row r="5" spans="1:10" x14ac:dyDescent="0.25">
      <c r="A5">
        <v>3</v>
      </c>
      <c r="B5">
        <v>6</v>
      </c>
      <c r="C5">
        <v>62</v>
      </c>
      <c r="D5">
        <v>113</v>
      </c>
      <c r="E5">
        <v>178</v>
      </c>
      <c r="F5">
        <v>232</v>
      </c>
      <c r="G5">
        <f t="shared" ref="G5:G21" si="2">B5+C5</f>
        <v>68</v>
      </c>
      <c r="H5">
        <f t="shared" ref="H5:H22" si="3">C5-B5</f>
        <v>56</v>
      </c>
      <c r="I5">
        <f t="shared" si="0"/>
        <v>20114</v>
      </c>
      <c r="J5">
        <f t="shared" si="1"/>
        <v>0.76724137931034486</v>
      </c>
    </row>
    <row r="6" spans="1:10" x14ac:dyDescent="0.25">
      <c r="A6">
        <v>4</v>
      </c>
      <c r="B6">
        <v>2</v>
      </c>
      <c r="C6">
        <v>88</v>
      </c>
      <c r="D6">
        <v>129</v>
      </c>
      <c r="E6">
        <v>199</v>
      </c>
      <c r="F6">
        <v>219</v>
      </c>
      <c r="G6">
        <f t="shared" si="2"/>
        <v>90</v>
      </c>
      <c r="H6">
        <f t="shared" si="3"/>
        <v>86</v>
      </c>
      <c r="I6">
        <f t="shared" si="0"/>
        <v>25671</v>
      </c>
      <c r="J6">
        <f t="shared" si="1"/>
        <v>0.908675799086758</v>
      </c>
    </row>
    <row r="7" spans="1:10" x14ac:dyDescent="0.25">
      <c r="A7">
        <v>5</v>
      </c>
      <c r="B7">
        <v>13</v>
      </c>
      <c r="C7">
        <v>78</v>
      </c>
      <c r="D7">
        <v>145</v>
      </c>
      <c r="E7">
        <v>177</v>
      </c>
      <c r="F7">
        <v>235</v>
      </c>
      <c r="G7">
        <f t="shared" si="2"/>
        <v>91</v>
      </c>
      <c r="H7">
        <f t="shared" si="3"/>
        <v>65</v>
      </c>
      <c r="I7">
        <f t="shared" si="0"/>
        <v>25665</v>
      </c>
      <c r="J7">
        <f t="shared" si="1"/>
        <v>0.7531914893617021</v>
      </c>
    </row>
    <row r="8" spans="1:10" x14ac:dyDescent="0.25">
      <c r="A8">
        <v>6</v>
      </c>
      <c r="B8">
        <v>15</v>
      </c>
      <c r="C8">
        <v>68</v>
      </c>
      <c r="D8">
        <v>118</v>
      </c>
      <c r="E8">
        <v>189</v>
      </c>
      <c r="F8">
        <v>220</v>
      </c>
      <c r="G8">
        <f t="shared" si="2"/>
        <v>83</v>
      </c>
      <c r="H8">
        <f t="shared" si="3"/>
        <v>53</v>
      </c>
      <c r="I8">
        <f t="shared" si="0"/>
        <v>22302</v>
      </c>
      <c r="J8">
        <f t="shared" si="1"/>
        <v>0.85909090909090913</v>
      </c>
    </row>
    <row r="9" spans="1:10" x14ac:dyDescent="0.25">
      <c r="A9">
        <v>7</v>
      </c>
      <c r="B9">
        <v>1</v>
      </c>
      <c r="C9">
        <v>95</v>
      </c>
      <c r="D9">
        <v>126</v>
      </c>
      <c r="E9">
        <v>195</v>
      </c>
      <c r="F9">
        <v>245</v>
      </c>
      <c r="G9">
        <f t="shared" si="2"/>
        <v>96</v>
      </c>
      <c r="H9">
        <f t="shared" si="3"/>
        <v>94</v>
      </c>
      <c r="I9">
        <f t="shared" si="0"/>
        <v>24570</v>
      </c>
      <c r="J9">
        <f t="shared" si="1"/>
        <v>0.79591836734693877</v>
      </c>
    </row>
    <row r="10" spans="1:10" x14ac:dyDescent="0.25">
      <c r="A10">
        <v>8</v>
      </c>
      <c r="B10">
        <v>25</v>
      </c>
      <c r="C10">
        <v>96</v>
      </c>
      <c r="D10">
        <v>127</v>
      </c>
      <c r="E10">
        <v>166</v>
      </c>
      <c r="F10">
        <v>232</v>
      </c>
      <c r="G10">
        <f t="shared" si="2"/>
        <v>121</v>
      </c>
      <c r="H10">
        <f t="shared" si="3"/>
        <v>71</v>
      </c>
      <c r="I10">
        <f t="shared" si="0"/>
        <v>21082</v>
      </c>
      <c r="J10">
        <f t="shared" si="1"/>
        <v>0.71551724137931039</v>
      </c>
    </row>
    <row r="11" spans="1:10" x14ac:dyDescent="0.25">
      <c r="A11">
        <v>9</v>
      </c>
      <c r="B11">
        <v>6</v>
      </c>
      <c r="C11">
        <v>59</v>
      </c>
      <c r="D11">
        <v>139</v>
      </c>
      <c r="E11">
        <v>159</v>
      </c>
      <c r="F11">
        <v>222</v>
      </c>
      <c r="G11">
        <f t="shared" si="2"/>
        <v>65</v>
      </c>
      <c r="H11">
        <f t="shared" si="3"/>
        <v>53</v>
      </c>
      <c r="I11">
        <f t="shared" si="0"/>
        <v>22101</v>
      </c>
      <c r="J11">
        <f t="shared" si="1"/>
        <v>0.71621621621621623</v>
      </c>
    </row>
    <row r="12" spans="1:10" x14ac:dyDescent="0.25">
      <c r="A12">
        <v>10</v>
      </c>
      <c r="B12">
        <v>7</v>
      </c>
      <c r="C12">
        <v>77</v>
      </c>
      <c r="D12">
        <v>145</v>
      </c>
      <c r="E12">
        <v>162</v>
      </c>
      <c r="F12">
        <v>236</v>
      </c>
      <c r="G12">
        <f t="shared" si="2"/>
        <v>84</v>
      </c>
      <c r="H12">
        <f t="shared" si="3"/>
        <v>70</v>
      </c>
      <c r="I12">
        <f t="shared" si="0"/>
        <v>23490</v>
      </c>
      <c r="J12">
        <f t="shared" si="1"/>
        <v>0.68644067796610164</v>
      </c>
    </row>
    <row r="13" spans="1:10" x14ac:dyDescent="0.25">
      <c r="A13">
        <v>11</v>
      </c>
      <c r="B13">
        <v>35</v>
      </c>
      <c r="C13">
        <v>72</v>
      </c>
      <c r="D13">
        <v>125</v>
      </c>
      <c r="E13">
        <v>175</v>
      </c>
      <c r="F13">
        <v>217</v>
      </c>
      <c r="G13">
        <f t="shared" si="2"/>
        <v>107</v>
      </c>
      <c r="H13">
        <f t="shared" si="3"/>
        <v>37</v>
      </c>
      <c r="I13">
        <f t="shared" si="0"/>
        <v>21875</v>
      </c>
      <c r="J13">
        <f t="shared" si="1"/>
        <v>0.80645161290322576</v>
      </c>
    </row>
    <row r="14" spans="1:10" x14ac:dyDescent="0.25">
      <c r="A14">
        <v>12</v>
      </c>
      <c r="B14">
        <v>12</v>
      </c>
      <c r="C14">
        <v>66</v>
      </c>
      <c r="D14">
        <v>146</v>
      </c>
      <c r="E14">
        <v>168</v>
      </c>
      <c r="F14">
        <v>244</v>
      </c>
      <c r="G14">
        <f t="shared" si="2"/>
        <v>78</v>
      </c>
      <c r="H14">
        <f t="shared" si="3"/>
        <v>54</v>
      </c>
      <c r="I14">
        <f t="shared" si="0"/>
        <v>24528</v>
      </c>
      <c r="J14">
        <f t="shared" si="1"/>
        <v>0.68852459016393441</v>
      </c>
    </row>
    <row r="15" spans="1:10" x14ac:dyDescent="0.25">
      <c r="A15">
        <v>13</v>
      </c>
      <c r="B15">
        <v>32</v>
      </c>
      <c r="C15">
        <v>85</v>
      </c>
      <c r="D15">
        <v>120</v>
      </c>
      <c r="E15">
        <v>199</v>
      </c>
      <c r="F15">
        <v>246</v>
      </c>
      <c r="G15">
        <f t="shared" si="2"/>
        <v>117</v>
      </c>
      <c r="H15">
        <f t="shared" si="3"/>
        <v>53</v>
      </c>
      <c r="I15">
        <f t="shared" si="0"/>
        <v>23880</v>
      </c>
      <c r="J15">
        <f t="shared" si="1"/>
        <v>0.80894308943089432</v>
      </c>
    </row>
    <row r="16" spans="1:10" x14ac:dyDescent="0.25">
      <c r="A16">
        <v>14</v>
      </c>
      <c r="B16">
        <v>9</v>
      </c>
      <c r="C16">
        <v>88</v>
      </c>
      <c r="D16">
        <v>128</v>
      </c>
      <c r="E16">
        <v>185</v>
      </c>
      <c r="F16">
        <v>235</v>
      </c>
      <c r="G16">
        <f t="shared" si="2"/>
        <v>97</v>
      </c>
      <c r="H16">
        <f t="shared" si="3"/>
        <v>79</v>
      </c>
      <c r="I16">
        <f t="shared" si="0"/>
        <v>23680</v>
      </c>
      <c r="J16">
        <f t="shared" si="1"/>
        <v>0.78723404255319152</v>
      </c>
    </row>
    <row r="17" spans="1:11" x14ac:dyDescent="0.25">
      <c r="A17">
        <v>15</v>
      </c>
      <c r="B17">
        <v>10</v>
      </c>
      <c r="C17">
        <v>65</v>
      </c>
      <c r="D17">
        <v>130</v>
      </c>
      <c r="E17">
        <v>152</v>
      </c>
      <c r="F17">
        <v>218</v>
      </c>
      <c r="G17">
        <f t="shared" si="2"/>
        <v>75</v>
      </c>
      <c r="H17">
        <f t="shared" si="3"/>
        <v>55</v>
      </c>
      <c r="I17">
        <f t="shared" si="0"/>
        <v>19760</v>
      </c>
      <c r="J17">
        <f t="shared" si="1"/>
        <v>0.69724770642201839</v>
      </c>
    </row>
    <row r="18" spans="1:11" x14ac:dyDescent="0.25">
      <c r="A18">
        <v>16</v>
      </c>
      <c r="B18">
        <v>16</v>
      </c>
      <c r="C18">
        <v>79</v>
      </c>
      <c r="D18">
        <v>132</v>
      </c>
      <c r="E18">
        <v>176</v>
      </c>
      <c r="F18">
        <v>226</v>
      </c>
      <c r="G18">
        <f t="shared" si="2"/>
        <v>95</v>
      </c>
      <c r="H18">
        <f t="shared" si="3"/>
        <v>63</v>
      </c>
      <c r="I18">
        <f t="shared" si="0"/>
        <v>23232</v>
      </c>
      <c r="J18">
        <f t="shared" si="1"/>
        <v>0.77876106194690264</v>
      </c>
    </row>
    <row r="19" spans="1:11" x14ac:dyDescent="0.25">
      <c r="A19">
        <v>17</v>
      </c>
      <c r="B19">
        <v>26</v>
      </c>
      <c r="C19">
        <v>80</v>
      </c>
      <c r="D19">
        <v>128</v>
      </c>
      <c r="E19">
        <v>186</v>
      </c>
      <c r="F19">
        <v>220</v>
      </c>
      <c r="G19">
        <f t="shared" si="2"/>
        <v>106</v>
      </c>
      <c r="H19">
        <f t="shared" si="3"/>
        <v>54</v>
      </c>
      <c r="I19">
        <f t="shared" si="0"/>
        <v>23808</v>
      </c>
      <c r="J19">
        <f t="shared" si="1"/>
        <v>0.84545454545454546</v>
      </c>
    </row>
    <row r="20" spans="1:11" x14ac:dyDescent="0.25">
      <c r="A20">
        <v>18</v>
      </c>
      <c r="B20">
        <v>10</v>
      </c>
      <c r="C20">
        <v>99</v>
      </c>
      <c r="D20">
        <v>119</v>
      </c>
      <c r="E20">
        <v>199</v>
      </c>
      <c r="F20">
        <v>223</v>
      </c>
      <c r="G20">
        <f t="shared" si="2"/>
        <v>109</v>
      </c>
      <c r="H20">
        <f t="shared" si="3"/>
        <v>89</v>
      </c>
      <c r="I20">
        <f t="shared" si="0"/>
        <v>23681</v>
      </c>
      <c r="J20">
        <f t="shared" si="1"/>
        <v>0.8923766816143498</v>
      </c>
    </row>
    <row r="21" spans="1:11" x14ac:dyDescent="0.25">
      <c r="A21">
        <v>19</v>
      </c>
      <c r="B21">
        <v>20</v>
      </c>
      <c r="C21">
        <v>75</v>
      </c>
      <c r="D21">
        <v>133</v>
      </c>
      <c r="E21">
        <v>166</v>
      </c>
      <c r="F21">
        <v>247</v>
      </c>
      <c r="G21">
        <f t="shared" si="2"/>
        <v>95</v>
      </c>
      <c r="H21">
        <f t="shared" si="3"/>
        <v>55</v>
      </c>
      <c r="I21">
        <f t="shared" si="0"/>
        <v>22078</v>
      </c>
      <c r="J21">
        <f t="shared" si="1"/>
        <v>0.67206477732793524</v>
      </c>
    </row>
    <row r="22" spans="1:11" x14ac:dyDescent="0.25">
      <c r="A22">
        <v>20</v>
      </c>
      <c r="B22">
        <v>6</v>
      </c>
      <c r="C22">
        <v>65</v>
      </c>
      <c r="D22">
        <v>140</v>
      </c>
      <c r="E22">
        <v>175</v>
      </c>
      <c r="F22">
        <v>249</v>
      </c>
      <c r="G22">
        <f>B22+C22</f>
        <v>71</v>
      </c>
      <c r="H22">
        <f t="shared" si="3"/>
        <v>59</v>
      </c>
      <c r="I22">
        <f t="shared" si="0"/>
        <v>24500</v>
      </c>
      <c r="J22">
        <f t="shared" si="1"/>
        <v>0.70281124497991965</v>
      </c>
    </row>
    <row r="25" spans="1:11" x14ac:dyDescent="0.25">
      <c r="I25" s="1"/>
    </row>
    <row r="26" spans="1:11" x14ac:dyDescent="0.25">
      <c r="H26" s="29" t="s">
        <v>261</v>
      </c>
      <c r="I26" s="30"/>
      <c r="J26" s="30"/>
      <c r="K26" s="30"/>
    </row>
    <row r="27" spans="1:11" x14ac:dyDescent="0.25">
      <c r="H27" s="30"/>
      <c r="I27" s="30"/>
      <c r="J27" s="30"/>
      <c r="K27" s="30"/>
    </row>
    <row r="28" spans="1:11" x14ac:dyDescent="0.25">
      <c r="H28" s="30"/>
      <c r="I28" s="30"/>
      <c r="J28" s="30"/>
      <c r="K28" s="30"/>
    </row>
    <row r="29" spans="1:11" x14ac:dyDescent="0.25">
      <c r="H29" s="30"/>
      <c r="I29" s="30"/>
      <c r="J29" s="30"/>
      <c r="K29" s="30"/>
    </row>
    <row r="33" spans="1:10" x14ac:dyDescent="0.25"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</row>
    <row r="34" spans="1:10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</row>
    <row r="35" spans="1:10" x14ac:dyDescent="0.25">
      <c r="A35">
        <v>1</v>
      </c>
      <c r="B35">
        <v>5</v>
      </c>
      <c r="C35">
        <v>66</v>
      </c>
      <c r="D35">
        <v>130</v>
      </c>
      <c r="E35">
        <v>189</v>
      </c>
      <c r="F35">
        <v>220</v>
      </c>
      <c r="G35">
        <f>B35+C35</f>
        <v>71</v>
      </c>
      <c r="H35">
        <f>C350-B35</f>
        <v>-5</v>
      </c>
      <c r="I35">
        <f>D35*E35</f>
        <v>24570</v>
      </c>
      <c r="J35">
        <f>E35/F35</f>
        <v>0.85909090909090913</v>
      </c>
    </row>
    <row r="36" spans="1:10" x14ac:dyDescent="0.25">
      <c r="A36">
        <v>2</v>
      </c>
      <c r="B36">
        <v>8</v>
      </c>
      <c r="C36">
        <v>85</v>
      </c>
      <c r="D36">
        <v>132</v>
      </c>
      <c r="E36">
        <v>195</v>
      </c>
      <c r="F36">
        <v>245</v>
      </c>
      <c r="G36">
        <f t="shared" ref="G36:G54" si="4">B36+C36</f>
        <v>93</v>
      </c>
      <c r="H36">
        <f t="shared" ref="H36:H54" si="5">C351-B36</f>
        <v>-8</v>
      </c>
      <c r="I36">
        <f t="shared" ref="I36:I54" si="6">D36*E36</f>
        <v>25740</v>
      </c>
      <c r="J36">
        <f t="shared" ref="J36:J54" si="7">E36/F36</f>
        <v>0.79591836734693877</v>
      </c>
    </row>
    <row r="37" spans="1:10" x14ac:dyDescent="0.25">
      <c r="A37">
        <v>3</v>
      </c>
      <c r="B37">
        <v>12</v>
      </c>
      <c r="C37">
        <v>88</v>
      </c>
      <c r="D37">
        <v>128</v>
      </c>
      <c r="E37">
        <v>166</v>
      </c>
      <c r="F37">
        <v>232</v>
      </c>
      <c r="G37">
        <f t="shared" si="4"/>
        <v>100</v>
      </c>
      <c r="H37">
        <f t="shared" si="5"/>
        <v>-12</v>
      </c>
      <c r="I37">
        <f t="shared" si="6"/>
        <v>21248</v>
      </c>
      <c r="J37">
        <f t="shared" si="7"/>
        <v>0.71551724137931039</v>
      </c>
    </row>
    <row r="38" spans="1:10" x14ac:dyDescent="0.25">
      <c r="A38">
        <v>4</v>
      </c>
      <c r="B38">
        <v>5</v>
      </c>
      <c r="C38">
        <v>65</v>
      </c>
      <c r="D38">
        <v>119</v>
      </c>
      <c r="E38">
        <v>159</v>
      </c>
      <c r="F38">
        <v>222</v>
      </c>
      <c r="G38">
        <f t="shared" si="4"/>
        <v>70</v>
      </c>
      <c r="H38">
        <f t="shared" si="5"/>
        <v>-5</v>
      </c>
      <c r="I38">
        <f t="shared" si="6"/>
        <v>18921</v>
      </c>
      <c r="J38">
        <f t="shared" si="7"/>
        <v>0.71621621621621623</v>
      </c>
    </row>
    <row r="39" spans="1:10" x14ac:dyDescent="0.25">
      <c r="A39">
        <v>5</v>
      </c>
      <c r="B39">
        <v>7</v>
      </c>
      <c r="C39">
        <v>79</v>
      </c>
      <c r="D39">
        <v>133</v>
      </c>
      <c r="E39">
        <v>162</v>
      </c>
      <c r="F39">
        <v>236</v>
      </c>
      <c r="G39">
        <f t="shared" si="4"/>
        <v>86</v>
      </c>
      <c r="H39">
        <f t="shared" si="5"/>
        <v>-7</v>
      </c>
      <c r="I39">
        <f t="shared" si="6"/>
        <v>21546</v>
      </c>
      <c r="J39">
        <f t="shared" si="7"/>
        <v>0.68644067796610164</v>
      </c>
    </row>
    <row r="40" spans="1:10" x14ac:dyDescent="0.25">
      <c r="A40">
        <v>6</v>
      </c>
      <c r="B40">
        <v>16</v>
      </c>
      <c r="C40">
        <v>80</v>
      </c>
      <c r="D40">
        <v>140</v>
      </c>
      <c r="E40">
        <v>175</v>
      </c>
      <c r="F40">
        <v>217</v>
      </c>
      <c r="G40">
        <f>B40+C40</f>
        <v>96</v>
      </c>
      <c r="H40">
        <f t="shared" si="5"/>
        <v>-16</v>
      </c>
      <c r="I40">
        <f t="shared" si="6"/>
        <v>24500</v>
      </c>
      <c r="J40">
        <f t="shared" si="7"/>
        <v>0.80645161290322576</v>
      </c>
    </row>
    <row r="41" spans="1:10" x14ac:dyDescent="0.25">
      <c r="A41">
        <v>7</v>
      </c>
      <c r="B41">
        <v>18</v>
      </c>
      <c r="C41">
        <v>56</v>
      </c>
      <c r="D41">
        <v>123</v>
      </c>
      <c r="E41">
        <v>168</v>
      </c>
      <c r="F41">
        <v>244</v>
      </c>
      <c r="G41">
        <f t="shared" si="4"/>
        <v>74</v>
      </c>
      <c r="H41">
        <f t="shared" si="5"/>
        <v>-18</v>
      </c>
      <c r="I41">
        <f t="shared" si="6"/>
        <v>20664</v>
      </c>
      <c r="J41">
        <f t="shared" si="7"/>
        <v>0.68852459016393441</v>
      </c>
    </row>
    <row r="42" spans="1:10" x14ac:dyDescent="0.25">
      <c r="A42">
        <v>8</v>
      </c>
      <c r="B42">
        <v>26</v>
      </c>
      <c r="C42">
        <v>99</v>
      </c>
      <c r="D42">
        <v>126</v>
      </c>
      <c r="E42">
        <v>199</v>
      </c>
      <c r="F42">
        <v>246</v>
      </c>
      <c r="G42">
        <f t="shared" si="4"/>
        <v>125</v>
      </c>
      <c r="H42">
        <f t="shared" si="5"/>
        <v>-26</v>
      </c>
      <c r="I42">
        <f t="shared" si="6"/>
        <v>25074</v>
      </c>
      <c r="J42">
        <f t="shared" si="7"/>
        <v>0.80894308943089432</v>
      </c>
    </row>
    <row r="43" spans="1:10" x14ac:dyDescent="0.25">
      <c r="A43">
        <v>9</v>
      </c>
      <c r="B43">
        <v>10</v>
      </c>
      <c r="C43">
        <v>56</v>
      </c>
      <c r="D43">
        <v>106</v>
      </c>
      <c r="E43">
        <v>185</v>
      </c>
      <c r="F43">
        <v>235</v>
      </c>
      <c r="G43">
        <f t="shared" si="4"/>
        <v>66</v>
      </c>
      <c r="H43">
        <f t="shared" si="5"/>
        <v>-10</v>
      </c>
      <c r="I43">
        <f t="shared" si="6"/>
        <v>19610</v>
      </c>
      <c r="J43">
        <f t="shared" si="7"/>
        <v>0.78723404255319152</v>
      </c>
    </row>
    <row r="44" spans="1:10" x14ac:dyDescent="0.25">
      <c r="A44">
        <v>10</v>
      </c>
      <c r="B44">
        <v>20</v>
      </c>
      <c r="C44">
        <v>89</v>
      </c>
      <c r="D44">
        <v>113</v>
      </c>
      <c r="E44">
        <v>155</v>
      </c>
      <c r="F44">
        <v>220</v>
      </c>
      <c r="G44">
        <f t="shared" si="4"/>
        <v>109</v>
      </c>
      <c r="H44">
        <f t="shared" si="5"/>
        <v>-20</v>
      </c>
      <c r="I44">
        <f t="shared" si="6"/>
        <v>17515</v>
      </c>
      <c r="J44">
        <f t="shared" si="7"/>
        <v>0.70454545454545459</v>
      </c>
    </row>
    <row r="45" spans="1:10" x14ac:dyDescent="0.25">
      <c r="A45">
        <v>11</v>
      </c>
      <c r="B45">
        <v>6</v>
      </c>
      <c r="C45">
        <v>99</v>
      </c>
      <c r="D45">
        <v>129</v>
      </c>
      <c r="E45">
        <v>165</v>
      </c>
      <c r="F45">
        <v>223</v>
      </c>
      <c r="G45">
        <f t="shared" si="4"/>
        <v>105</v>
      </c>
      <c r="H45">
        <f t="shared" si="5"/>
        <v>-6</v>
      </c>
      <c r="I45">
        <f t="shared" si="6"/>
        <v>21285</v>
      </c>
      <c r="J45">
        <f t="shared" si="7"/>
        <v>0.73991031390134532</v>
      </c>
    </row>
    <row r="46" spans="1:10" x14ac:dyDescent="0.25">
      <c r="A46">
        <v>12</v>
      </c>
      <c r="B46">
        <v>25</v>
      </c>
      <c r="C46">
        <v>56</v>
      </c>
      <c r="D46">
        <v>145</v>
      </c>
      <c r="E46">
        <v>178</v>
      </c>
      <c r="F46">
        <v>247</v>
      </c>
      <c r="G46">
        <f t="shared" si="4"/>
        <v>81</v>
      </c>
      <c r="H46">
        <f t="shared" si="5"/>
        <v>-25</v>
      </c>
      <c r="I46">
        <f t="shared" si="6"/>
        <v>25810</v>
      </c>
      <c r="J46">
        <f t="shared" si="7"/>
        <v>0.72064777327935226</v>
      </c>
    </row>
    <row r="47" spans="1:10" x14ac:dyDescent="0.25">
      <c r="A47">
        <v>13</v>
      </c>
      <c r="B47">
        <v>20</v>
      </c>
      <c r="C47">
        <v>62</v>
      </c>
      <c r="D47">
        <v>118</v>
      </c>
      <c r="E47">
        <v>199</v>
      </c>
      <c r="F47">
        <v>249</v>
      </c>
      <c r="G47">
        <f t="shared" si="4"/>
        <v>82</v>
      </c>
      <c r="H47">
        <f t="shared" si="5"/>
        <v>-20</v>
      </c>
      <c r="I47">
        <f t="shared" si="6"/>
        <v>23482</v>
      </c>
      <c r="J47">
        <f t="shared" si="7"/>
        <v>0.79919678714859432</v>
      </c>
    </row>
    <row r="48" spans="1:10" x14ac:dyDescent="0.25">
      <c r="A48">
        <v>14</v>
      </c>
      <c r="B48">
        <v>26</v>
      </c>
      <c r="C48">
        <v>88</v>
      </c>
      <c r="D48">
        <v>126</v>
      </c>
      <c r="E48">
        <v>177</v>
      </c>
      <c r="F48">
        <v>215</v>
      </c>
      <c r="G48">
        <f t="shared" si="4"/>
        <v>114</v>
      </c>
      <c r="H48">
        <f t="shared" si="5"/>
        <v>-26</v>
      </c>
      <c r="I48">
        <f t="shared" si="6"/>
        <v>22302</v>
      </c>
      <c r="J48">
        <f t="shared" si="7"/>
        <v>0.82325581395348835</v>
      </c>
    </row>
    <row r="49" spans="1:10" x14ac:dyDescent="0.25">
      <c r="A49">
        <v>15</v>
      </c>
      <c r="B49">
        <v>13</v>
      </c>
      <c r="C49">
        <v>78</v>
      </c>
      <c r="D49">
        <v>127</v>
      </c>
      <c r="E49">
        <v>186</v>
      </c>
      <c r="F49">
        <v>222</v>
      </c>
      <c r="G49">
        <f t="shared" si="4"/>
        <v>91</v>
      </c>
      <c r="H49">
        <f t="shared" si="5"/>
        <v>-13</v>
      </c>
      <c r="I49">
        <f t="shared" si="6"/>
        <v>23622</v>
      </c>
      <c r="J49">
        <f t="shared" si="7"/>
        <v>0.83783783783783783</v>
      </c>
    </row>
    <row r="50" spans="1:10" x14ac:dyDescent="0.25">
      <c r="A50">
        <v>16</v>
      </c>
      <c r="B50">
        <v>19</v>
      </c>
      <c r="C50">
        <v>68</v>
      </c>
      <c r="D50">
        <v>135</v>
      </c>
      <c r="E50">
        <v>199</v>
      </c>
      <c r="F50">
        <v>235</v>
      </c>
      <c r="G50">
        <f t="shared" si="4"/>
        <v>87</v>
      </c>
      <c r="H50">
        <f t="shared" si="5"/>
        <v>-19</v>
      </c>
      <c r="I50">
        <f t="shared" si="6"/>
        <v>26865</v>
      </c>
      <c r="J50">
        <f t="shared" si="7"/>
        <v>0.84680851063829787</v>
      </c>
    </row>
    <row r="51" spans="1:10" x14ac:dyDescent="0.25">
      <c r="A51">
        <v>17</v>
      </c>
      <c r="B51">
        <v>32</v>
      </c>
      <c r="C51">
        <v>95</v>
      </c>
      <c r="D51">
        <v>146</v>
      </c>
      <c r="E51">
        <v>166</v>
      </c>
      <c r="F51">
        <v>216</v>
      </c>
      <c r="G51">
        <f t="shared" si="4"/>
        <v>127</v>
      </c>
      <c r="H51">
        <f t="shared" si="5"/>
        <v>-32</v>
      </c>
      <c r="I51">
        <f t="shared" si="6"/>
        <v>24236</v>
      </c>
      <c r="J51">
        <f t="shared" si="7"/>
        <v>0.76851851851851849</v>
      </c>
    </row>
    <row r="52" spans="1:10" x14ac:dyDescent="0.25">
      <c r="A52">
        <v>18</v>
      </c>
      <c r="B52">
        <v>28</v>
      </c>
      <c r="C52">
        <v>96</v>
      </c>
      <c r="D52">
        <v>149</v>
      </c>
      <c r="E52">
        <v>175</v>
      </c>
      <c r="F52">
        <v>235</v>
      </c>
      <c r="G52">
        <f t="shared" si="4"/>
        <v>124</v>
      </c>
      <c r="H52">
        <f t="shared" si="5"/>
        <v>-28</v>
      </c>
      <c r="I52">
        <f t="shared" si="6"/>
        <v>26075</v>
      </c>
      <c r="J52">
        <f t="shared" si="7"/>
        <v>0.74468085106382975</v>
      </c>
    </row>
    <row r="53" spans="1:10" x14ac:dyDescent="0.25">
      <c r="A53">
        <v>19</v>
      </c>
      <c r="B53">
        <v>36</v>
      </c>
      <c r="C53">
        <v>59</v>
      </c>
      <c r="D53">
        <v>122</v>
      </c>
      <c r="E53">
        <v>199</v>
      </c>
      <c r="F53">
        <v>244</v>
      </c>
      <c r="G53">
        <f t="shared" si="4"/>
        <v>95</v>
      </c>
      <c r="H53">
        <f t="shared" si="5"/>
        <v>-36</v>
      </c>
      <c r="I53">
        <f t="shared" si="6"/>
        <v>24278</v>
      </c>
      <c r="J53">
        <f t="shared" si="7"/>
        <v>0.81557377049180324</v>
      </c>
    </row>
    <row r="54" spans="1:10" x14ac:dyDescent="0.25">
      <c r="A54">
        <v>20</v>
      </c>
      <c r="B54">
        <v>45</v>
      </c>
      <c r="C54">
        <v>77</v>
      </c>
      <c r="D54">
        <v>126</v>
      </c>
      <c r="E54">
        <v>186</v>
      </c>
      <c r="F54">
        <v>236</v>
      </c>
      <c r="G54">
        <f t="shared" si="4"/>
        <v>122</v>
      </c>
      <c r="H54">
        <f t="shared" si="5"/>
        <v>-45</v>
      </c>
      <c r="I54">
        <f t="shared" si="6"/>
        <v>23436</v>
      </c>
      <c r="J54">
        <f t="shared" si="7"/>
        <v>0.78813559322033899</v>
      </c>
    </row>
    <row r="57" spans="1:10" x14ac:dyDescent="0.25">
      <c r="G57" s="31" t="s">
        <v>15</v>
      </c>
      <c r="H57" s="32"/>
      <c r="I57" s="32"/>
      <c r="J57" s="32"/>
    </row>
    <row r="58" spans="1:10" x14ac:dyDescent="0.25">
      <c r="G58" s="32"/>
      <c r="H58" s="32"/>
      <c r="I58" s="32"/>
      <c r="J58" s="32"/>
    </row>
    <row r="59" spans="1:10" x14ac:dyDescent="0.25">
      <c r="G59" s="32"/>
      <c r="H59" s="32"/>
      <c r="I59" s="32"/>
      <c r="J59" s="32"/>
    </row>
    <row r="60" spans="1:10" x14ac:dyDescent="0.25">
      <c r="G60" s="32"/>
      <c r="H60" s="32"/>
      <c r="I60" s="32"/>
      <c r="J60" s="32"/>
    </row>
    <row r="61" spans="1:10" x14ac:dyDescent="0.25">
      <c r="G61" s="32"/>
      <c r="H61" s="32"/>
      <c r="I61" s="32"/>
      <c r="J61" s="32"/>
    </row>
    <row r="62" spans="1:10" x14ac:dyDescent="0.25">
      <c r="G62" s="32"/>
      <c r="H62" s="32"/>
      <c r="I62" s="32"/>
      <c r="J62" s="32"/>
    </row>
    <row r="64" spans="1:10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</row>
    <row r="65" spans="1:10" x14ac:dyDescent="0.25">
      <c r="A65" t="s">
        <v>26</v>
      </c>
      <c r="B65" t="s">
        <v>48</v>
      </c>
      <c r="C65">
        <v>9000</v>
      </c>
      <c r="D65">
        <f>C65*24%</f>
        <v>2160</v>
      </c>
      <c r="E65">
        <f>C65*18/100</f>
        <v>1620</v>
      </c>
      <c r="F65">
        <f>C65*50%</f>
        <v>4500</v>
      </c>
      <c r="G65">
        <f>C65*45%</f>
        <v>4050</v>
      </c>
      <c r="H65">
        <f>D65+E65+F65+G65+C65</f>
        <v>21330</v>
      </c>
      <c r="I65">
        <f>H65*10%</f>
        <v>2133</v>
      </c>
      <c r="J65">
        <f>H65-I65</f>
        <v>19197</v>
      </c>
    </row>
    <row r="66" spans="1:10" x14ac:dyDescent="0.25">
      <c r="A66" t="s">
        <v>27</v>
      </c>
      <c r="B66" t="s">
        <v>49</v>
      </c>
      <c r="C66">
        <v>12000</v>
      </c>
      <c r="D66">
        <f t="shared" ref="D66:D86" si="8">C66*24%</f>
        <v>2880</v>
      </c>
      <c r="E66">
        <f t="shared" ref="E66:E86" si="9">C66*18/100</f>
        <v>2160</v>
      </c>
      <c r="F66">
        <f t="shared" ref="F66:F86" si="10">C66*50%</f>
        <v>6000</v>
      </c>
      <c r="G66">
        <f t="shared" ref="G66:G86" si="11">C66*45%</f>
        <v>5400</v>
      </c>
      <c r="H66">
        <f t="shared" ref="H66:H86" si="12">D66+E66+F66+G66+C66</f>
        <v>28440</v>
      </c>
      <c r="I66">
        <f t="shared" ref="I66:I86" si="13">H66*10%</f>
        <v>2844</v>
      </c>
      <c r="J66">
        <f t="shared" ref="J66:J86" si="14">H66-I66</f>
        <v>25596</v>
      </c>
    </row>
    <row r="67" spans="1:10" x14ac:dyDescent="0.25">
      <c r="A67" t="s">
        <v>28</v>
      </c>
      <c r="B67" t="s">
        <v>50</v>
      </c>
      <c r="C67">
        <v>16000</v>
      </c>
      <c r="D67">
        <f t="shared" si="8"/>
        <v>3840</v>
      </c>
      <c r="E67">
        <f t="shared" si="9"/>
        <v>2880</v>
      </c>
      <c r="F67">
        <f t="shared" si="10"/>
        <v>8000</v>
      </c>
      <c r="G67">
        <f t="shared" si="11"/>
        <v>7200</v>
      </c>
      <c r="H67">
        <f t="shared" si="12"/>
        <v>37920</v>
      </c>
      <c r="I67">
        <f t="shared" si="13"/>
        <v>3792</v>
      </c>
      <c r="J67">
        <f t="shared" si="14"/>
        <v>34128</v>
      </c>
    </row>
    <row r="68" spans="1:10" x14ac:dyDescent="0.25">
      <c r="A68" t="s">
        <v>29</v>
      </c>
      <c r="B68" t="s">
        <v>51</v>
      </c>
      <c r="C68">
        <v>10000</v>
      </c>
      <c r="D68">
        <f t="shared" si="8"/>
        <v>2400</v>
      </c>
      <c r="E68">
        <f t="shared" si="9"/>
        <v>1800</v>
      </c>
      <c r="F68">
        <f t="shared" si="10"/>
        <v>5000</v>
      </c>
      <c r="G68">
        <f t="shared" si="11"/>
        <v>4500</v>
      </c>
      <c r="H68">
        <f t="shared" si="12"/>
        <v>23700</v>
      </c>
      <c r="I68">
        <f t="shared" si="13"/>
        <v>2370</v>
      </c>
      <c r="J68">
        <f t="shared" si="14"/>
        <v>21330</v>
      </c>
    </row>
    <row r="69" spans="1:10" x14ac:dyDescent="0.25">
      <c r="A69" t="s">
        <v>30</v>
      </c>
      <c r="B69" t="s">
        <v>53</v>
      </c>
      <c r="C69">
        <v>15000</v>
      </c>
      <c r="D69">
        <f t="shared" si="8"/>
        <v>3600</v>
      </c>
      <c r="E69">
        <f t="shared" si="9"/>
        <v>2700</v>
      </c>
      <c r="F69">
        <f t="shared" si="10"/>
        <v>7500</v>
      </c>
      <c r="G69">
        <f t="shared" si="11"/>
        <v>6750</v>
      </c>
      <c r="H69">
        <f t="shared" si="12"/>
        <v>35550</v>
      </c>
      <c r="I69">
        <f t="shared" si="13"/>
        <v>3555</v>
      </c>
      <c r="J69">
        <f t="shared" si="14"/>
        <v>31995</v>
      </c>
    </row>
    <row r="70" spans="1:10" x14ac:dyDescent="0.25">
      <c r="A70" t="s">
        <v>31</v>
      </c>
      <c r="B70" t="s">
        <v>52</v>
      </c>
      <c r="C70">
        <v>12000</v>
      </c>
      <c r="D70">
        <f t="shared" si="8"/>
        <v>2880</v>
      </c>
      <c r="E70">
        <f t="shared" si="9"/>
        <v>2160</v>
      </c>
      <c r="F70">
        <f t="shared" si="10"/>
        <v>6000</v>
      </c>
      <c r="G70">
        <f t="shared" si="11"/>
        <v>5400</v>
      </c>
      <c r="H70">
        <f t="shared" si="12"/>
        <v>28440</v>
      </c>
      <c r="I70">
        <f t="shared" si="13"/>
        <v>2844</v>
      </c>
      <c r="J70">
        <f t="shared" si="14"/>
        <v>25596</v>
      </c>
    </row>
    <row r="71" spans="1:10" x14ac:dyDescent="0.25">
      <c r="A71" t="s">
        <v>32</v>
      </c>
      <c r="B71" t="s">
        <v>54</v>
      </c>
      <c r="C71">
        <v>25000</v>
      </c>
      <c r="D71">
        <f t="shared" si="8"/>
        <v>6000</v>
      </c>
      <c r="E71">
        <f t="shared" si="9"/>
        <v>4500</v>
      </c>
      <c r="F71">
        <f t="shared" si="10"/>
        <v>12500</v>
      </c>
      <c r="G71">
        <f t="shared" si="11"/>
        <v>11250</v>
      </c>
      <c r="H71">
        <f t="shared" si="12"/>
        <v>59250</v>
      </c>
      <c r="I71">
        <f t="shared" si="13"/>
        <v>5925</v>
      </c>
      <c r="J71">
        <f t="shared" si="14"/>
        <v>53325</v>
      </c>
    </row>
    <row r="72" spans="1:10" x14ac:dyDescent="0.25">
      <c r="A72" t="s">
        <v>33</v>
      </c>
      <c r="B72" t="s">
        <v>55</v>
      </c>
      <c r="C72">
        <v>30000</v>
      </c>
      <c r="D72">
        <f t="shared" si="8"/>
        <v>7200</v>
      </c>
      <c r="E72">
        <f t="shared" si="9"/>
        <v>5400</v>
      </c>
      <c r="F72">
        <f t="shared" si="10"/>
        <v>15000</v>
      </c>
      <c r="G72">
        <f t="shared" si="11"/>
        <v>13500</v>
      </c>
      <c r="H72">
        <f t="shared" si="12"/>
        <v>71100</v>
      </c>
      <c r="I72">
        <f t="shared" si="13"/>
        <v>7110</v>
      </c>
      <c r="J72">
        <f t="shared" si="14"/>
        <v>63990</v>
      </c>
    </row>
    <row r="73" spans="1:10" x14ac:dyDescent="0.25">
      <c r="A73" t="s">
        <v>34</v>
      </c>
      <c r="B73" t="s">
        <v>56</v>
      </c>
      <c r="C73">
        <v>22000</v>
      </c>
      <c r="D73">
        <f t="shared" si="8"/>
        <v>5280</v>
      </c>
      <c r="E73">
        <f t="shared" si="9"/>
        <v>3960</v>
      </c>
      <c r="F73">
        <f t="shared" si="10"/>
        <v>11000</v>
      </c>
      <c r="G73">
        <f t="shared" si="11"/>
        <v>9900</v>
      </c>
      <c r="H73">
        <f t="shared" si="12"/>
        <v>52140</v>
      </c>
      <c r="I73">
        <f t="shared" si="13"/>
        <v>5214</v>
      </c>
      <c r="J73">
        <f t="shared" si="14"/>
        <v>46926</v>
      </c>
    </row>
    <row r="74" spans="1:10" x14ac:dyDescent="0.25">
      <c r="A74" t="s">
        <v>35</v>
      </c>
      <c r="B74" t="s">
        <v>57</v>
      </c>
      <c r="C74">
        <v>30000</v>
      </c>
      <c r="D74">
        <f t="shared" si="8"/>
        <v>7200</v>
      </c>
      <c r="E74">
        <f t="shared" si="9"/>
        <v>5400</v>
      </c>
      <c r="F74">
        <f t="shared" si="10"/>
        <v>15000</v>
      </c>
      <c r="G74">
        <f t="shared" si="11"/>
        <v>13500</v>
      </c>
      <c r="H74">
        <f t="shared" si="12"/>
        <v>71100</v>
      </c>
      <c r="I74">
        <f t="shared" si="13"/>
        <v>7110</v>
      </c>
      <c r="J74">
        <f t="shared" si="14"/>
        <v>63990</v>
      </c>
    </row>
    <row r="75" spans="1:10" x14ac:dyDescent="0.25">
      <c r="A75" t="s">
        <v>36</v>
      </c>
      <c r="B75" t="s">
        <v>58</v>
      </c>
      <c r="C75">
        <v>17000</v>
      </c>
      <c r="D75">
        <f t="shared" si="8"/>
        <v>4080</v>
      </c>
      <c r="E75">
        <f t="shared" si="9"/>
        <v>3060</v>
      </c>
      <c r="F75">
        <f t="shared" si="10"/>
        <v>8500</v>
      </c>
      <c r="G75">
        <f t="shared" si="11"/>
        <v>7650</v>
      </c>
      <c r="H75">
        <f t="shared" si="12"/>
        <v>40290</v>
      </c>
      <c r="I75">
        <f t="shared" si="13"/>
        <v>4029</v>
      </c>
      <c r="J75">
        <f t="shared" si="14"/>
        <v>36261</v>
      </c>
    </row>
    <row r="76" spans="1:10" x14ac:dyDescent="0.25">
      <c r="A76" t="s">
        <v>37</v>
      </c>
      <c r="B76" t="s">
        <v>59</v>
      </c>
      <c r="C76">
        <v>19000</v>
      </c>
      <c r="D76">
        <f t="shared" si="8"/>
        <v>4560</v>
      </c>
      <c r="E76">
        <f t="shared" si="9"/>
        <v>3420</v>
      </c>
      <c r="F76">
        <f t="shared" si="10"/>
        <v>9500</v>
      </c>
      <c r="G76">
        <f t="shared" si="11"/>
        <v>8550</v>
      </c>
      <c r="H76">
        <f t="shared" si="12"/>
        <v>45030</v>
      </c>
      <c r="I76">
        <f t="shared" si="13"/>
        <v>4503</v>
      </c>
      <c r="J76">
        <f t="shared" si="14"/>
        <v>40527</v>
      </c>
    </row>
    <row r="77" spans="1:10" x14ac:dyDescent="0.25">
      <c r="A77" t="s">
        <v>38</v>
      </c>
      <c r="B77" t="s">
        <v>60</v>
      </c>
      <c r="C77">
        <v>14000</v>
      </c>
      <c r="D77">
        <f t="shared" si="8"/>
        <v>3360</v>
      </c>
      <c r="E77">
        <f t="shared" si="9"/>
        <v>2520</v>
      </c>
      <c r="F77">
        <f t="shared" si="10"/>
        <v>7000</v>
      </c>
      <c r="G77">
        <f t="shared" si="11"/>
        <v>6300</v>
      </c>
      <c r="H77">
        <f t="shared" si="12"/>
        <v>33180</v>
      </c>
      <c r="I77">
        <f t="shared" si="13"/>
        <v>3318</v>
      </c>
      <c r="J77">
        <f t="shared" si="14"/>
        <v>29862</v>
      </c>
    </row>
    <row r="78" spans="1:10" x14ac:dyDescent="0.25">
      <c r="A78" t="s">
        <v>39</v>
      </c>
      <c r="B78" t="s">
        <v>61</v>
      </c>
      <c r="C78">
        <v>9000</v>
      </c>
      <c r="D78">
        <f t="shared" si="8"/>
        <v>2160</v>
      </c>
      <c r="E78">
        <f t="shared" si="9"/>
        <v>1620</v>
      </c>
      <c r="F78">
        <f t="shared" si="10"/>
        <v>4500</v>
      </c>
      <c r="G78">
        <f t="shared" si="11"/>
        <v>4050</v>
      </c>
      <c r="H78">
        <f t="shared" si="12"/>
        <v>21330</v>
      </c>
      <c r="I78">
        <f t="shared" si="13"/>
        <v>2133</v>
      </c>
      <c r="J78">
        <f t="shared" si="14"/>
        <v>19197</v>
      </c>
    </row>
    <row r="79" spans="1:10" x14ac:dyDescent="0.25">
      <c r="A79" t="s">
        <v>40</v>
      </c>
      <c r="B79" t="s">
        <v>50</v>
      </c>
      <c r="C79">
        <v>12000</v>
      </c>
      <c r="D79">
        <f t="shared" si="8"/>
        <v>2880</v>
      </c>
      <c r="E79">
        <f t="shared" si="9"/>
        <v>2160</v>
      </c>
      <c r="F79">
        <f t="shared" si="10"/>
        <v>6000</v>
      </c>
      <c r="G79">
        <f t="shared" si="11"/>
        <v>5400</v>
      </c>
      <c r="H79">
        <f t="shared" si="12"/>
        <v>28440</v>
      </c>
      <c r="I79">
        <f t="shared" si="13"/>
        <v>2844</v>
      </c>
      <c r="J79">
        <f t="shared" si="14"/>
        <v>25596</v>
      </c>
    </row>
    <row r="80" spans="1:10" x14ac:dyDescent="0.25">
      <c r="A80" t="s">
        <v>41</v>
      </c>
      <c r="B80" t="s">
        <v>51</v>
      </c>
      <c r="C80">
        <v>16000</v>
      </c>
      <c r="D80">
        <f t="shared" si="8"/>
        <v>3840</v>
      </c>
      <c r="E80">
        <f t="shared" si="9"/>
        <v>2880</v>
      </c>
      <c r="F80">
        <f t="shared" si="10"/>
        <v>8000</v>
      </c>
      <c r="G80">
        <f t="shared" si="11"/>
        <v>7200</v>
      </c>
      <c r="H80">
        <f t="shared" si="12"/>
        <v>37920</v>
      </c>
      <c r="I80">
        <f t="shared" si="13"/>
        <v>3792</v>
      </c>
      <c r="J80">
        <f t="shared" si="14"/>
        <v>34128</v>
      </c>
    </row>
    <row r="81" spans="1:10" x14ac:dyDescent="0.25">
      <c r="A81" t="s">
        <v>42</v>
      </c>
      <c r="B81" t="s">
        <v>53</v>
      </c>
      <c r="C81">
        <v>10000</v>
      </c>
      <c r="D81">
        <f t="shared" si="8"/>
        <v>2400</v>
      </c>
      <c r="E81">
        <f t="shared" si="9"/>
        <v>1800</v>
      </c>
      <c r="F81">
        <f t="shared" si="10"/>
        <v>5000</v>
      </c>
      <c r="G81">
        <f t="shared" si="11"/>
        <v>4500</v>
      </c>
      <c r="H81">
        <f>D81+E81+F81+G81+C81</f>
        <v>23700</v>
      </c>
      <c r="I81">
        <f t="shared" si="13"/>
        <v>2370</v>
      </c>
      <c r="J81">
        <f t="shared" si="14"/>
        <v>21330</v>
      </c>
    </row>
    <row r="82" spans="1:10" x14ac:dyDescent="0.25">
      <c r="A82" t="s">
        <v>43</v>
      </c>
      <c r="B82" t="s">
        <v>52</v>
      </c>
      <c r="C82">
        <v>15000</v>
      </c>
      <c r="D82">
        <f t="shared" si="8"/>
        <v>3600</v>
      </c>
      <c r="E82">
        <f t="shared" si="9"/>
        <v>2700</v>
      </c>
      <c r="F82">
        <f t="shared" si="10"/>
        <v>7500</v>
      </c>
      <c r="G82">
        <f t="shared" si="11"/>
        <v>6750</v>
      </c>
      <c r="H82">
        <f t="shared" si="12"/>
        <v>35550</v>
      </c>
      <c r="I82">
        <f t="shared" si="13"/>
        <v>3555</v>
      </c>
      <c r="J82">
        <f t="shared" si="14"/>
        <v>31995</v>
      </c>
    </row>
    <row r="83" spans="1:10" x14ac:dyDescent="0.25">
      <c r="A83" t="s">
        <v>44</v>
      </c>
      <c r="B83" t="s">
        <v>54</v>
      </c>
      <c r="C83">
        <v>12000</v>
      </c>
      <c r="D83">
        <f t="shared" si="8"/>
        <v>2880</v>
      </c>
      <c r="E83">
        <f t="shared" si="9"/>
        <v>2160</v>
      </c>
      <c r="F83">
        <f t="shared" si="10"/>
        <v>6000</v>
      </c>
      <c r="G83">
        <f t="shared" si="11"/>
        <v>5400</v>
      </c>
      <c r="H83">
        <f t="shared" si="12"/>
        <v>28440</v>
      </c>
      <c r="I83">
        <f t="shared" si="13"/>
        <v>2844</v>
      </c>
      <c r="J83">
        <f t="shared" si="14"/>
        <v>25596</v>
      </c>
    </row>
    <row r="84" spans="1:10" x14ac:dyDescent="0.25">
      <c r="A84" t="s">
        <v>45</v>
      </c>
      <c r="B84" t="s">
        <v>55</v>
      </c>
      <c r="C84">
        <v>25000</v>
      </c>
      <c r="D84">
        <f t="shared" si="8"/>
        <v>6000</v>
      </c>
      <c r="E84">
        <f t="shared" si="9"/>
        <v>4500</v>
      </c>
      <c r="F84">
        <f t="shared" si="10"/>
        <v>12500</v>
      </c>
      <c r="G84">
        <f t="shared" si="11"/>
        <v>11250</v>
      </c>
      <c r="H84">
        <f t="shared" si="12"/>
        <v>59250</v>
      </c>
      <c r="I84">
        <f t="shared" si="13"/>
        <v>5925</v>
      </c>
      <c r="J84">
        <f t="shared" si="14"/>
        <v>53325</v>
      </c>
    </row>
    <row r="85" spans="1:10" x14ac:dyDescent="0.25">
      <c r="A85" t="s">
        <v>46</v>
      </c>
      <c r="B85" t="s">
        <v>56</v>
      </c>
      <c r="C85">
        <v>30000</v>
      </c>
      <c r="D85">
        <f t="shared" si="8"/>
        <v>7200</v>
      </c>
      <c r="E85">
        <f t="shared" si="9"/>
        <v>5400</v>
      </c>
      <c r="F85">
        <f t="shared" si="10"/>
        <v>15000</v>
      </c>
      <c r="G85">
        <f t="shared" si="11"/>
        <v>13500</v>
      </c>
      <c r="H85">
        <f t="shared" si="12"/>
        <v>71100</v>
      </c>
      <c r="I85">
        <f t="shared" si="13"/>
        <v>7110</v>
      </c>
      <c r="J85">
        <f>H85-I85</f>
        <v>63990</v>
      </c>
    </row>
    <row r="86" spans="1:10" x14ac:dyDescent="0.25">
      <c r="A86" t="s">
        <v>47</v>
      </c>
      <c r="B86" t="s">
        <v>62</v>
      </c>
      <c r="C86">
        <v>22000</v>
      </c>
      <c r="D86">
        <f t="shared" si="8"/>
        <v>5280</v>
      </c>
      <c r="E86">
        <f t="shared" si="9"/>
        <v>3960</v>
      </c>
      <c r="F86">
        <f t="shared" si="10"/>
        <v>11000</v>
      </c>
      <c r="G86">
        <f t="shared" si="11"/>
        <v>9900</v>
      </c>
      <c r="H86">
        <f t="shared" si="12"/>
        <v>52140</v>
      </c>
      <c r="I86">
        <f t="shared" si="13"/>
        <v>5214</v>
      </c>
      <c r="J86">
        <f t="shared" si="14"/>
        <v>46926</v>
      </c>
    </row>
    <row r="91" spans="1:10" x14ac:dyDescent="0.25">
      <c r="C91" s="18" t="s">
        <v>246</v>
      </c>
    </row>
    <row r="92" spans="1:10" x14ac:dyDescent="0.25">
      <c r="C92" s="19" t="s">
        <v>44</v>
      </c>
    </row>
    <row r="93" spans="1:10" x14ac:dyDescent="0.25">
      <c r="C93" s="21" t="s">
        <v>54</v>
      </c>
    </row>
    <row r="94" spans="1:10" x14ac:dyDescent="0.25">
      <c r="C94" s="22">
        <v>12000</v>
      </c>
    </row>
    <row r="95" spans="1:10" x14ac:dyDescent="0.25">
      <c r="C95" s="23">
        <v>2880</v>
      </c>
    </row>
    <row r="96" spans="1:10" x14ac:dyDescent="0.25">
      <c r="C96" s="24">
        <v>6000</v>
      </c>
    </row>
    <row r="97" spans="3:3" x14ac:dyDescent="0.25">
      <c r="C97" s="25">
        <v>5400</v>
      </c>
    </row>
    <row r="98" spans="3:3" x14ac:dyDescent="0.25">
      <c r="C98" s="26">
        <v>16440</v>
      </c>
    </row>
    <row r="99" spans="3:3" x14ac:dyDescent="0.25">
      <c r="C99" s="27">
        <v>1644</v>
      </c>
    </row>
    <row r="100" spans="3:3" x14ac:dyDescent="0.25">
      <c r="C100" s="19" t="s">
        <v>35</v>
      </c>
    </row>
    <row r="101" spans="3:3" x14ac:dyDescent="0.25">
      <c r="C101" s="21" t="s">
        <v>57</v>
      </c>
    </row>
    <row r="102" spans="3:3" x14ac:dyDescent="0.25">
      <c r="C102" s="22">
        <v>30000</v>
      </c>
    </row>
    <row r="103" spans="3:3" x14ac:dyDescent="0.25">
      <c r="C103" s="23">
        <v>7200</v>
      </c>
    </row>
    <row r="104" spans="3:3" x14ac:dyDescent="0.25">
      <c r="C104" s="24">
        <v>15000</v>
      </c>
    </row>
    <row r="105" spans="3:3" x14ac:dyDescent="0.25">
      <c r="C105" s="25">
        <v>13500</v>
      </c>
    </row>
    <row r="106" spans="3:3" x14ac:dyDescent="0.25">
      <c r="C106" s="26">
        <v>41100</v>
      </c>
    </row>
    <row r="107" spans="3:3" x14ac:dyDescent="0.25">
      <c r="C107" s="27">
        <v>4110</v>
      </c>
    </row>
    <row r="108" spans="3:3" x14ac:dyDescent="0.25">
      <c r="C108" s="19" t="s">
        <v>34</v>
      </c>
    </row>
    <row r="109" spans="3:3" x14ac:dyDescent="0.25">
      <c r="C109" s="21" t="s">
        <v>56</v>
      </c>
    </row>
    <row r="110" spans="3:3" x14ac:dyDescent="0.25">
      <c r="C110" s="22">
        <v>22000</v>
      </c>
    </row>
    <row r="111" spans="3:3" x14ac:dyDescent="0.25">
      <c r="C111" s="23">
        <v>5280</v>
      </c>
    </row>
    <row r="112" spans="3:3" x14ac:dyDescent="0.25">
      <c r="C112" s="24">
        <v>11000</v>
      </c>
    </row>
    <row r="113" spans="3:3" x14ac:dyDescent="0.25">
      <c r="C113" s="25">
        <v>9900</v>
      </c>
    </row>
    <row r="114" spans="3:3" x14ac:dyDescent="0.25">
      <c r="C114" s="26">
        <v>30140</v>
      </c>
    </row>
    <row r="115" spans="3:3" x14ac:dyDescent="0.25">
      <c r="C115" s="27">
        <v>3014</v>
      </c>
    </row>
    <row r="116" spans="3:3" x14ac:dyDescent="0.25">
      <c r="C116" s="19" t="s">
        <v>33</v>
      </c>
    </row>
    <row r="117" spans="3:3" x14ac:dyDescent="0.25">
      <c r="C117" s="21" t="s">
        <v>55</v>
      </c>
    </row>
    <row r="118" spans="3:3" x14ac:dyDescent="0.25">
      <c r="C118" s="22">
        <v>30000</v>
      </c>
    </row>
    <row r="119" spans="3:3" x14ac:dyDescent="0.25">
      <c r="C119" s="23">
        <v>7200</v>
      </c>
    </row>
    <row r="120" spans="3:3" x14ac:dyDescent="0.25">
      <c r="C120" s="24">
        <v>15000</v>
      </c>
    </row>
    <row r="121" spans="3:3" x14ac:dyDescent="0.25">
      <c r="C121" s="25">
        <v>13500</v>
      </c>
    </row>
    <row r="122" spans="3:3" x14ac:dyDescent="0.25">
      <c r="C122" s="26">
        <v>41100</v>
      </c>
    </row>
    <row r="123" spans="3:3" x14ac:dyDescent="0.25">
      <c r="C123" s="27">
        <v>4110</v>
      </c>
    </row>
    <row r="124" spans="3:3" x14ac:dyDescent="0.25">
      <c r="C124" s="19" t="s">
        <v>40</v>
      </c>
    </row>
    <row r="125" spans="3:3" x14ac:dyDescent="0.25">
      <c r="C125" s="21" t="s">
        <v>50</v>
      </c>
    </row>
    <row r="126" spans="3:3" x14ac:dyDescent="0.25">
      <c r="C126" s="22">
        <v>12000</v>
      </c>
    </row>
    <row r="127" spans="3:3" x14ac:dyDescent="0.25">
      <c r="C127" s="23">
        <v>2880</v>
      </c>
    </row>
    <row r="128" spans="3:3" x14ac:dyDescent="0.25">
      <c r="C128" s="24">
        <v>6000</v>
      </c>
    </row>
    <row r="129" spans="3:3" x14ac:dyDescent="0.25">
      <c r="C129" s="25">
        <v>5400</v>
      </c>
    </row>
    <row r="130" spans="3:3" x14ac:dyDescent="0.25">
      <c r="C130" s="26">
        <v>16440</v>
      </c>
    </row>
    <row r="131" spans="3:3" x14ac:dyDescent="0.25">
      <c r="C131" s="27">
        <v>1644</v>
      </c>
    </row>
    <row r="132" spans="3:3" x14ac:dyDescent="0.25">
      <c r="C132" s="19" t="s">
        <v>41</v>
      </c>
    </row>
    <row r="133" spans="3:3" x14ac:dyDescent="0.25">
      <c r="C133" s="21" t="s">
        <v>51</v>
      </c>
    </row>
    <row r="134" spans="3:3" x14ac:dyDescent="0.25">
      <c r="C134" s="22">
        <v>16000</v>
      </c>
    </row>
    <row r="135" spans="3:3" x14ac:dyDescent="0.25">
      <c r="C135" s="23">
        <v>3840</v>
      </c>
    </row>
    <row r="136" spans="3:3" x14ac:dyDescent="0.25">
      <c r="C136" s="24">
        <v>8000</v>
      </c>
    </row>
    <row r="137" spans="3:3" x14ac:dyDescent="0.25">
      <c r="C137" s="25">
        <v>7200</v>
      </c>
    </row>
    <row r="138" spans="3:3" x14ac:dyDescent="0.25">
      <c r="C138" s="26">
        <v>21920</v>
      </c>
    </row>
    <row r="139" spans="3:3" x14ac:dyDescent="0.25">
      <c r="C139" s="27">
        <v>2192</v>
      </c>
    </row>
    <row r="140" spans="3:3" x14ac:dyDescent="0.25">
      <c r="C140" s="19" t="s">
        <v>46</v>
      </c>
    </row>
    <row r="141" spans="3:3" x14ac:dyDescent="0.25">
      <c r="C141" s="21" t="s">
        <v>56</v>
      </c>
    </row>
    <row r="142" spans="3:3" x14ac:dyDescent="0.25">
      <c r="C142" s="22">
        <v>30000</v>
      </c>
    </row>
    <row r="143" spans="3:3" x14ac:dyDescent="0.25">
      <c r="C143" s="23">
        <v>7200</v>
      </c>
    </row>
    <row r="144" spans="3:3" x14ac:dyDescent="0.25">
      <c r="C144" s="24">
        <v>15000</v>
      </c>
    </row>
    <row r="145" spans="3:3" x14ac:dyDescent="0.25">
      <c r="C145" s="25">
        <v>13500</v>
      </c>
    </row>
    <row r="146" spans="3:3" x14ac:dyDescent="0.25">
      <c r="C146" s="26">
        <v>41100</v>
      </c>
    </row>
    <row r="147" spans="3:3" x14ac:dyDescent="0.25">
      <c r="C147" s="27">
        <v>4110</v>
      </c>
    </row>
    <row r="148" spans="3:3" x14ac:dyDescent="0.25">
      <c r="C148" s="19" t="s">
        <v>31</v>
      </c>
    </row>
    <row r="149" spans="3:3" x14ac:dyDescent="0.25">
      <c r="C149" s="21" t="s">
        <v>52</v>
      </c>
    </row>
    <row r="150" spans="3:3" x14ac:dyDescent="0.25">
      <c r="C150" s="22">
        <v>12000</v>
      </c>
    </row>
    <row r="151" spans="3:3" x14ac:dyDescent="0.25">
      <c r="C151" s="23">
        <v>2880</v>
      </c>
    </row>
    <row r="152" spans="3:3" x14ac:dyDescent="0.25">
      <c r="C152" s="24">
        <v>6000</v>
      </c>
    </row>
    <row r="153" spans="3:3" x14ac:dyDescent="0.25">
      <c r="C153" s="25">
        <v>5400</v>
      </c>
    </row>
    <row r="154" spans="3:3" x14ac:dyDescent="0.25">
      <c r="C154" s="26">
        <v>16440</v>
      </c>
    </row>
    <row r="155" spans="3:3" x14ac:dyDescent="0.25">
      <c r="C155" s="27">
        <v>1644</v>
      </c>
    </row>
    <row r="156" spans="3:3" x14ac:dyDescent="0.25">
      <c r="C156" s="19" t="s">
        <v>30</v>
      </c>
    </row>
    <row r="157" spans="3:3" x14ac:dyDescent="0.25">
      <c r="C157" s="21" t="s">
        <v>53</v>
      </c>
    </row>
    <row r="158" spans="3:3" x14ac:dyDescent="0.25">
      <c r="C158" s="22">
        <v>15000</v>
      </c>
    </row>
    <row r="159" spans="3:3" x14ac:dyDescent="0.25">
      <c r="C159" s="23">
        <v>3600</v>
      </c>
    </row>
    <row r="160" spans="3:3" x14ac:dyDescent="0.25">
      <c r="C160" s="24">
        <v>7500</v>
      </c>
    </row>
    <row r="161" spans="1:3" x14ac:dyDescent="0.25">
      <c r="C161" s="25">
        <v>6750</v>
      </c>
    </row>
    <row r="162" spans="1:3" x14ac:dyDescent="0.25">
      <c r="C162" s="26">
        <v>20550</v>
      </c>
    </row>
    <row r="163" spans="1:3" x14ac:dyDescent="0.25">
      <c r="C163" s="27">
        <v>2055</v>
      </c>
    </row>
    <row r="164" spans="1:3" x14ac:dyDescent="0.25">
      <c r="C164" s="19" t="s">
        <v>45</v>
      </c>
    </row>
    <row r="165" spans="1:3" x14ac:dyDescent="0.25">
      <c r="C165" s="21" t="s">
        <v>55</v>
      </c>
    </row>
    <row r="166" spans="1:3" x14ac:dyDescent="0.25">
      <c r="C166" s="22">
        <v>25000</v>
      </c>
    </row>
    <row r="167" spans="1:3" x14ac:dyDescent="0.25">
      <c r="C167" s="23">
        <v>6000</v>
      </c>
    </row>
    <row r="168" spans="1:3" x14ac:dyDescent="0.25">
      <c r="A168" t="s">
        <v>259</v>
      </c>
      <c r="C168" s="24">
        <v>12500</v>
      </c>
    </row>
    <row r="169" spans="1:3" x14ac:dyDescent="0.25">
      <c r="C169" s="25">
        <v>11250</v>
      </c>
    </row>
    <row r="170" spans="1:3" x14ac:dyDescent="0.25">
      <c r="C170" s="26">
        <v>34250</v>
      </c>
    </row>
    <row r="171" spans="1:3" x14ac:dyDescent="0.25">
      <c r="C171" s="27">
        <v>3425</v>
      </c>
    </row>
    <row r="172" spans="1:3" x14ac:dyDescent="0.25">
      <c r="C172" s="19" t="s">
        <v>39</v>
      </c>
    </row>
    <row r="173" spans="1:3" x14ac:dyDescent="0.25">
      <c r="C173" s="21" t="s">
        <v>61</v>
      </c>
    </row>
    <row r="174" spans="1:3" x14ac:dyDescent="0.25">
      <c r="C174" s="22">
        <v>9000</v>
      </c>
    </row>
    <row r="175" spans="1:3" x14ac:dyDescent="0.25">
      <c r="C175" s="23">
        <v>2160</v>
      </c>
    </row>
    <row r="176" spans="1:3" x14ac:dyDescent="0.25">
      <c r="C176" s="24">
        <v>4500</v>
      </c>
    </row>
    <row r="177" spans="3:3" x14ac:dyDescent="0.25">
      <c r="C177" s="25">
        <v>4050</v>
      </c>
    </row>
    <row r="178" spans="3:3" x14ac:dyDescent="0.25">
      <c r="C178" s="26">
        <v>12330</v>
      </c>
    </row>
    <row r="179" spans="3:3" x14ac:dyDescent="0.25">
      <c r="C179" s="27">
        <v>1233</v>
      </c>
    </row>
    <row r="180" spans="3:3" x14ac:dyDescent="0.25">
      <c r="C180" s="19" t="s">
        <v>43</v>
      </c>
    </row>
    <row r="181" spans="3:3" x14ac:dyDescent="0.25">
      <c r="C181" s="21" t="s">
        <v>52</v>
      </c>
    </row>
    <row r="182" spans="3:3" x14ac:dyDescent="0.25">
      <c r="C182" s="22">
        <v>15000</v>
      </c>
    </row>
    <row r="183" spans="3:3" x14ac:dyDescent="0.25">
      <c r="C183" s="23">
        <v>3600</v>
      </c>
    </row>
    <row r="184" spans="3:3" x14ac:dyDescent="0.25">
      <c r="C184" s="24">
        <v>7500</v>
      </c>
    </row>
    <row r="185" spans="3:3" x14ac:dyDescent="0.25">
      <c r="C185" s="25">
        <v>6750</v>
      </c>
    </row>
    <row r="186" spans="3:3" x14ac:dyDescent="0.25">
      <c r="C186" s="26">
        <v>20550</v>
      </c>
    </row>
    <row r="187" spans="3:3" x14ac:dyDescent="0.25">
      <c r="C187" s="27">
        <v>2055</v>
      </c>
    </row>
    <row r="188" spans="3:3" x14ac:dyDescent="0.25">
      <c r="C188" s="19" t="s">
        <v>38</v>
      </c>
    </row>
    <row r="189" spans="3:3" x14ac:dyDescent="0.25">
      <c r="C189" s="21" t="s">
        <v>60</v>
      </c>
    </row>
    <row r="190" spans="3:3" x14ac:dyDescent="0.25">
      <c r="C190" s="22">
        <v>14000</v>
      </c>
    </row>
    <row r="191" spans="3:3" x14ac:dyDescent="0.25">
      <c r="C191" s="23">
        <v>3360</v>
      </c>
    </row>
    <row r="192" spans="3:3" x14ac:dyDescent="0.25">
      <c r="C192" s="24">
        <v>7000</v>
      </c>
    </row>
    <row r="193" spans="3:3" x14ac:dyDescent="0.25">
      <c r="C193" s="25">
        <v>6300</v>
      </c>
    </row>
    <row r="194" spans="3:3" x14ac:dyDescent="0.25">
      <c r="C194" s="26">
        <v>19180</v>
      </c>
    </row>
    <row r="195" spans="3:3" x14ac:dyDescent="0.25">
      <c r="C195" s="27">
        <v>1918</v>
      </c>
    </row>
    <row r="196" spans="3:3" x14ac:dyDescent="0.25">
      <c r="C196" s="19" t="s">
        <v>28</v>
      </c>
    </row>
    <row r="197" spans="3:3" x14ac:dyDescent="0.25">
      <c r="C197" s="21" t="s">
        <v>50</v>
      </c>
    </row>
    <row r="198" spans="3:3" x14ac:dyDescent="0.25">
      <c r="C198" s="22">
        <v>16000</v>
      </c>
    </row>
    <row r="199" spans="3:3" x14ac:dyDescent="0.25">
      <c r="C199" s="23">
        <v>3840</v>
      </c>
    </row>
    <row r="200" spans="3:3" x14ac:dyDescent="0.25">
      <c r="C200" s="24">
        <v>8000</v>
      </c>
    </row>
    <row r="201" spans="3:3" x14ac:dyDescent="0.25">
      <c r="C201" s="25">
        <v>7200</v>
      </c>
    </row>
    <row r="202" spans="3:3" x14ac:dyDescent="0.25">
      <c r="C202" s="26">
        <v>21920</v>
      </c>
    </row>
    <row r="203" spans="3:3" x14ac:dyDescent="0.25">
      <c r="C203" s="27">
        <v>2192</v>
      </c>
    </row>
    <row r="204" spans="3:3" x14ac:dyDescent="0.25">
      <c r="C204" s="19" t="s">
        <v>26</v>
      </c>
    </row>
    <row r="205" spans="3:3" x14ac:dyDescent="0.25">
      <c r="C205" s="21" t="s">
        <v>48</v>
      </c>
    </row>
    <row r="206" spans="3:3" x14ac:dyDescent="0.25">
      <c r="C206" s="22">
        <v>9000</v>
      </c>
    </row>
    <row r="207" spans="3:3" x14ac:dyDescent="0.25">
      <c r="C207" s="23">
        <v>2160</v>
      </c>
    </row>
    <row r="208" spans="3:3" x14ac:dyDescent="0.25">
      <c r="C208" s="24">
        <v>4500</v>
      </c>
    </row>
    <row r="209" spans="3:3" x14ac:dyDescent="0.25">
      <c r="C209" s="25">
        <v>4050</v>
      </c>
    </row>
    <row r="210" spans="3:3" x14ac:dyDescent="0.25">
      <c r="C210" s="26">
        <v>12330</v>
      </c>
    </row>
    <row r="211" spans="3:3" x14ac:dyDescent="0.25">
      <c r="C211" s="27">
        <v>1233</v>
      </c>
    </row>
    <row r="212" spans="3:3" x14ac:dyDescent="0.25">
      <c r="C212" s="19" t="s">
        <v>29</v>
      </c>
    </row>
    <row r="213" spans="3:3" x14ac:dyDescent="0.25">
      <c r="C213" s="21" t="s">
        <v>51</v>
      </c>
    </row>
    <row r="214" spans="3:3" x14ac:dyDescent="0.25">
      <c r="C214" s="22">
        <v>10000</v>
      </c>
    </row>
    <row r="215" spans="3:3" x14ac:dyDescent="0.25">
      <c r="C215" s="23">
        <v>2400</v>
      </c>
    </row>
    <row r="216" spans="3:3" x14ac:dyDescent="0.25">
      <c r="C216" s="24">
        <v>5000</v>
      </c>
    </row>
    <row r="217" spans="3:3" x14ac:dyDescent="0.25">
      <c r="C217" s="25">
        <v>4500</v>
      </c>
    </row>
    <row r="218" spans="3:3" x14ac:dyDescent="0.25">
      <c r="C218" s="26">
        <v>13700</v>
      </c>
    </row>
    <row r="219" spans="3:3" x14ac:dyDescent="0.25">
      <c r="C219" s="27">
        <v>1370</v>
      </c>
    </row>
    <row r="220" spans="3:3" x14ac:dyDescent="0.25">
      <c r="C220" s="19" t="s">
        <v>27</v>
      </c>
    </row>
    <row r="221" spans="3:3" x14ac:dyDescent="0.25">
      <c r="C221" s="21" t="s">
        <v>49</v>
      </c>
    </row>
    <row r="222" spans="3:3" x14ac:dyDescent="0.25">
      <c r="C222" s="22">
        <v>12000</v>
      </c>
    </row>
    <row r="223" spans="3:3" x14ac:dyDescent="0.25">
      <c r="C223" s="23">
        <v>2880</v>
      </c>
    </row>
    <row r="224" spans="3:3" x14ac:dyDescent="0.25">
      <c r="C224" s="24">
        <v>6000</v>
      </c>
    </row>
    <row r="225" spans="3:3" x14ac:dyDescent="0.25">
      <c r="C225" s="25">
        <v>5400</v>
      </c>
    </row>
    <row r="226" spans="3:3" x14ac:dyDescent="0.25">
      <c r="C226" s="26">
        <v>16440</v>
      </c>
    </row>
    <row r="227" spans="3:3" x14ac:dyDescent="0.25">
      <c r="C227" s="27">
        <v>1644</v>
      </c>
    </row>
    <row r="228" spans="3:3" x14ac:dyDescent="0.25">
      <c r="C228" s="19" t="s">
        <v>32</v>
      </c>
    </row>
    <row r="229" spans="3:3" x14ac:dyDescent="0.25">
      <c r="C229" s="21" t="s">
        <v>54</v>
      </c>
    </row>
    <row r="230" spans="3:3" x14ac:dyDescent="0.25">
      <c r="C230" s="22">
        <v>25000</v>
      </c>
    </row>
    <row r="231" spans="3:3" x14ac:dyDescent="0.25">
      <c r="C231" s="23">
        <v>6000</v>
      </c>
    </row>
    <row r="232" spans="3:3" x14ac:dyDescent="0.25">
      <c r="C232" s="24">
        <v>12500</v>
      </c>
    </row>
    <row r="233" spans="3:3" x14ac:dyDescent="0.25">
      <c r="C233" s="25">
        <v>11250</v>
      </c>
    </row>
    <row r="234" spans="3:3" x14ac:dyDescent="0.25">
      <c r="C234" s="26">
        <v>34250</v>
      </c>
    </row>
    <row r="235" spans="3:3" x14ac:dyDescent="0.25">
      <c r="C235" s="27">
        <v>3425</v>
      </c>
    </row>
    <row r="236" spans="3:3" x14ac:dyDescent="0.25">
      <c r="C236" s="19" t="s">
        <v>42</v>
      </c>
    </row>
    <row r="237" spans="3:3" x14ac:dyDescent="0.25">
      <c r="C237" s="21" t="s">
        <v>53</v>
      </c>
    </row>
    <row r="238" spans="3:3" x14ac:dyDescent="0.25">
      <c r="C238" s="22">
        <v>10000</v>
      </c>
    </row>
    <row r="239" spans="3:3" x14ac:dyDescent="0.25">
      <c r="C239" s="23">
        <v>2400</v>
      </c>
    </row>
    <row r="240" spans="3:3" x14ac:dyDescent="0.25">
      <c r="C240" s="24">
        <v>5000</v>
      </c>
    </row>
    <row r="241" spans="3:3" x14ac:dyDescent="0.25">
      <c r="C241" s="25">
        <v>4500</v>
      </c>
    </row>
    <row r="242" spans="3:3" x14ac:dyDescent="0.25">
      <c r="C242" s="26">
        <v>13700</v>
      </c>
    </row>
    <row r="243" spans="3:3" x14ac:dyDescent="0.25">
      <c r="C243" s="27">
        <v>1370</v>
      </c>
    </row>
    <row r="244" spans="3:3" x14ac:dyDescent="0.25">
      <c r="C244" s="19" t="s">
        <v>47</v>
      </c>
    </row>
    <row r="245" spans="3:3" x14ac:dyDescent="0.25">
      <c r="C245" s="21" t="s">
        <v>62</v>
      </c>
    </row>
    <row r="246" spans="3:3" x14ac:dyDescent="0.25">
      <c r="C246" s="22">
        <v>22000</v>
      </c>
    </row>
    <row r="247" spans="3:3" x14ac:dyDescent="0.25">
      <c r="C247" s="23">
        <v>5280</v>
      </c>
    </row>
    <row r="248" spans="3:3" x14ac:dyDescent="0.25">
      <c r="C248" s="24">
        <v>11000</v>
      </c>
    </row>
    <row r="249" spans="3:3" x14ac:dyDescent="0.25">
      <c r="C249" s="25">
        <v>9900</v>
      </c>
    </row>
    <row r="250" spans="3:3" x14ac:dyDescent="0.25">
      <c r="C250" s="26">
        <v>30140</v>
      </c>
    </row>
    <row r="251" spans="3:3" x14ac:dyDescent="0.25">
      <c r="C251" s="27">
        <v>3014</v>
      </c>
    </row>
    <row r="252" spans="3:3" x14ac:dyDescent="0.25">
      <c r="C252" s="19" t="s">
        <v>37</v>
      </c>
    </row>
    <row r="253" spans="3:3" x14ac:dyDescent="0.25">
      <c r="C253" s="21" t="s">
        <v>59</v>
      </c>
    </row>
    <row r="254" spans="3:3" x14ac:dyDescent="0.25">
      <c r="C254" s="22">
        <v>19000</v>
      </c>
    </row>
    <row r="255" spans="3:3" x14ac:dyDescent="0.25">
      <c r="C255" s="23">
        <v>4560</v>
      </c>
    </row>
    <row r="256" spans="3:3" x14ac:dyDescent="0.25">
      <c r="C256" s="24">
        <v>9500</v>
      </c>
    </row>
    <row r="257" spans="3:3" x14ac:dyDescent="0.25">
      <c r="C257" s="25">
        <v>8550</v>
      </c>
    </row>
    <row r="258" spans="3:3" x14ac:dyDescent="0.25">
      <c r="C258" s="26">
        <v>26030</v>
      </c>
    </row>
    <row r="259" spans="3:3" x14ac:dyDescent="0.25">
      <c r="C259" s="27">
        <v>2603</v>
      </c>
    </row>
    <row r="260" spans="3:3" x14ac:dyDescent="0.25">
      <c r="C260" s="19" t="s">
        <v>36</v>
      </c>
    </row>
    <row r="261" spans="3:3" x14ac:dyDescent="0.25">
      <c r="C261" s="21" t="s">
        <v>58</v>
      </c>
    </row>
    <row r="262" spans="3:3" x14ac:dyDescent="0.25">
      <c r="C262" s="22">
        <v>17000</v>
      </c>
    </row>
    <row r="263" spans="3:3" x14ac:dyDescent="0.25">
      <c r="C263" s="23">
        <v>4080</v>
      </c>
    </row>
    <row r="264" spans="3:3" x14ac:dyDescent="0.25">
      <c r="C264" s="24">
        <v>8500</v>
      </c>
    </row>
    <row r="265" spans="3:3" x14ac:dyDescent="0.25">
      <c r="C265" s="25">
        <v>7650</v>
      </c>
    </row>
    <row r="266" spans="3:3" x14ac:dyDescent="0.25">
      <c r="C266" s="26">
        <v>23290</v>
      </c>
    </row>
    <row r="267" spans="3:3" x14ac:dyDescent="0.25">
      <c r="C267" s="27">
        <v>2329</v>
      </c>
    </row>
    <row r="268" spans="3:3" x14ac:dyDescent="0.25">
      <c r="C268" s="19" t="s">
        <v>258</v>
      </c>
    </row>
    <row r="269" spans="3:3" x14ac:dyDescent="0.25">
      <c r="C269" s="21" t="s">
        <v>258</v>
      </c>
    </row>
    <row r="270" spans="3:3" x14ac:dyDescent="0.25">
      <c r="C270" s="22" t="s">
        <v>258</v>
      </c>
    </row>
    <row r="271" spans="3:3" x14ac:dyDescent="0.25">
      <c r="C271" s="23" t="s">
        <v>258</v>
      </c>
    </row>
    <row r="272" spans="3:3" x14ac:dyDescent="0.25">
      <c r="C272" s="24" t="s">
        <v>258</v>
      </c>
    </row>
    <row r="273" spans="3:3" x14ac:dyDescent="0.25">
      <c r="C273" s="25" t="s">
        <v>258</v>
      </c>
    </row>
    <row r="274" spans="3:3" x14ac:dyDescent="0.25">
      <c r="C274" s="26" t="s">
        <v>258</v>
      </c>
    </row>
    <row r="275" spans="3:3" x14ac:dyDescent="0.25">
      <c r="C275" s="27" t="s">
        <v>258</v>
      </c>
    </row>
    <row r="276" spans="3:3" x14ac:dyDescent="0.25">
      <c r="C276" s="19" t="s">
        <v>247</v>
      </c>
    </row>
  </sheetData>
  <mergeCells count="2">
    <mergeCell ref="H26:K29"/>
    <mergeCell ref="G57:J6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workbookViewId="0">
      <selection activeCell="A3" sqref="A3:C16"/>
    </sheetView>
  </sheetViews>
  <sheetFormatPr defaultRowHeight="15" x14ac:dyDescent="0.25"/>
  <cols>
    <col min="1" max="1" width="14.28515625" customWidth="1"/>
    <col min="2" max="2" width="19.140625" bestFit="1" customWidth="1"/>
    <col min="3" max="3" width="12.85546875" bestFit="1" customWidth="1"/>
  </cols>
  <sheetData>
    <row r="3" spans="1:3" x14ac:dyDescent="0.25">
      <c r="A3" s="18" t="s">
        <v>246</v>
      </c>
      <c r="B3" t="s">
        <v>249</v>
      </c>
      <c r="C3" t="s">
        <v>245</v>
      </c>
    </row>
    <row r="4" spans="1:3" x14ac:dyDescent="0.25">
      <c r="A4" s="19" t="s">
        <v>68</v>
      </c>
      <c r="B4" s="12">
        <v>20178</v>
      </c>
      <c r="C4" s="12">
        <v>11</v>
      </c>
    </row>
    <row r="5" spans="1:3" x14ac:dyDescent="0.25">
      <c r="A5" s="19" t="s">
        <v>69</v>
      </c>
      <c r="B5" s="12">
        <v>20178</v>
      </c>
      <c r="C5" s="12">
        <v>13</v>
      </c>
    </row>
    <row r="6" spans="1:3" x14ac:dyDescent="0.25">
      <c r="A6" s="19" t="s">
        <v>70</v>
      </c>
      <c r="B6" s="12">
        <v>20178</v>
      </c>
      <c r="C6" s="12">
        <v>15</v>
      </c>
    </row>
    <row r="7" spans="1:3" x14ac:dyDescent="0.25">
      <c r="A7" s="19" t="s">
        <v>75</v>
      </c>
      <c r="B7" s="12">
        <v>10089</v>
      </c>
      <c r="C7" s="12">
        <v>8</v>
      </c>
    </row>
    <row r="8" spans="1:3" x14ac:dyDescent="0.25">
      <c r="A8" s="19" t="s">
        <v>76</v>
      </c>
      <c r="B8" s="12">
        <v>10089</v>
      </c>
      <c r="C8" s="12">
        <v>9</v>
      </c>
    </row>
    <row r="9" spans="1:3" x14ac:dyDescent="0.25">
      <c r="A9" s="19" t="s">
        <v>72</v>
      </c>
      <c r="B9" s="12">
        <v>20178</v>
      </c>
      <c r="C9" s="12">
        <v>19</v>
      </c>
    </row>
    <row r="10" spans="1:3" x14ac:dyDescent="0.25">
      <c r="A10" s="19" t="s">
        <v>74</v>
      </c>
      <c r="B10" s="12">
        <v>10089</v>
      </c>
      <c r="C10" s="12">
        <v>7</v>
      </c>
    </row>
    <row r="11" spans="1:3" x14ac:dyDescent="0.25">
      <c r="A11" s="19" t="s">
        <v>73</v>
      </c>
      <c r="B11" s="12">
        <v>10089</v>
      </c>
      <c r="C11" s="12">
        <v>6</v>
      </c>
    </row>
    <row r="12" spans="1:3" x14ac:dyDescent="0.25">
      <c r="A12" s="19" t="s">
        <v>71</v>
      </c>
      <c r="B12" s="12">
        <v>20178</v>
      </c>
      <c r="C12" s="12">
        <v>17</v>
      </c>
    </row>
    <row r="13" spans="1:3" x14ac:dyDescent="0.25">
      <c r="A13" s="19" t="s">
        <v>247</v>
      </c>
      <c r="B13" s="12">
        <v>141246</v>
      </c>
      <c r="C13" s="12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tabSelected="1" topLeftCell="A6" workbookViewId="0">
      <selection activeCell="I65" sqref="I65"/>
    </sheetView>
  </sheetViews>
  <sheetFormatPr defaultRowHeight="15" x14ac:dyDescent="0.25"/>
  <cols>
    <col min="2" max="2" width="12.42578125" customWidth="1"/>
    <col min="3" max="3" width="15.5703125" customWidth="1"/>
    <col min="4" max="4" width="10.140625" customWidth="1"/>
    <col min="5" max="5" width="14.28515625" customWidth="1"/>
    <col min="6" max="6" width="12.85546875" customWidth="1"/>
    <col min="7" max="7" width="18.7109375" customWidth="1"/>
    <col min="8" max="8" width="17" customWidth="1"/>
    <col min="9" max="9" width="12" customWidth="1"/>
    <col min="10" max="10" width="16.5703125" customWidth="1"/>
    <col min="11" max="11" width="16.28515625" bestFit="1" customWidth="1"/>
    <col min="12" max="12" width="16.140625" bestFit="1" customWidth="1"/>
    <col min="13" max="13" width="22.42578125" bestFit="1" customWidth="1"/>
  </cols>
  <sheetData>
    <row r="1" spans="1:9" x14ac:dyDescent="0.25">
      <c r="E1" s="33" t="s">
        <v>257</v>
      </c>
      <c r="F1" s="34"/>
      <c r="G1" s="34"/>
      <c r="H1" s="34"/>
    </row>
    <row r="2" spans="1:9" x14ac:dyDescent="0.25">
      <c r="E2" s="34"/>
      <c r="F2" s="34"/>
      <c r="G2" s="34"/>
      <c r="H2" s="34"/>
    </row>
    <row r="3" spans="1:9" x14ac:dyDescent="0.25">
      <c r="E3" s="34"/>
      <c r="F3" s="34"/>
      <c r="G3" s="34"/>
      <c r="H3" s="34"/>
    </row>
    <row r="4" spans="1:9" x14ac:dyDescent="0.25">
      <c r="E4" s="34"/>
      <c r="F4" s="34"/>
      <c r="G4" s="34"/>
      <c r="H4" s="34"/>
    </row>
    <row r="5" spans="1:9" x14ac:dyDescent="0.25">
      <c r="E5" s="34"/>
      <c r="F5" s="34"/>
      <c r="G5" s="34"/>
      <c r="H5" s="34"/>
    </row>
    <row r="6" spans="1:9" x14ac:dyDescent="0.25">
      <c r="E6" s="34"/>
      <c r="F6" s="34"/>
      <c r="G6" s="34"/>
      <c r="H6" s="34"/>
    </row>
    <row r="8" spans="1:9" x14ac:dyDescent="0.25">
      <c r="A8" t="s">
        <v>9</v>
      </c>
      <c r="B8" t="s">
        <v>63</v>
      </c>
      <c r="C8" t="s">
        <v>64</v>
      </c>
      <c r="D8" t="s">
        <v>65</v>
      </c>
      <c r="E8" t="s">
        <v>78</v>
      </c>
      <c r="F8" t="s">
        <v>79</v>
      </c>
      <c r="G8" t="s">
        <v>66</v>
      </c>
      <c r="H8" t="s">
        <v>80</v>
      </c>
      <c r="I8" t="s">
        <v>67</v>
      </c>
    </row>
    <row r="9" spans="1:9" x14ac:dyDescent="0.25">
      <c r="A9">
        <v>1</v>
      </c>
      <c r="B9">
        <v>10098</v>
      </c>
      <c r="C9" t="s">
        <v>68</v>
      </c>
      <c r="D9">
        <v>10</v>
      </c>
      <c r="E9">
        <v>150</v>
      </c>
      <c r="F9">
        <f>E9*D9</f>
        <v>1500</v>
      </c>
      <c r="G9">
        <f>F9*17%</f>
        <v>255.00000000000003</v>
      </c>
      <c r="H9">
        <f>F9*19%</f>
        <v>285</v>
      </c>
      <c r="I9">
        <f>H9+G9+F9</f>
        <v>2040</v>
      </c>
    </row>
    <row r="10" spans="1:9" x14ac:dyDescent="0.25">
      <c r="A10">
        <v>2</v>
      </c>
      <c r="B10">
        <v>10098</v>
      </c>
      <c r="C10" t="s">
        <v>69</v>
      </c>
      <c r="D10">
        <v>12</v>
      </c>
      <c r="E10">
        <v>70</v>
      </c>
      <c r="F10">
        <f t="shared" ref="F10:F28" si="0">E10*D10</f>
        <v>840</v>
      </c>
      <c r="G10">
        <f t="shared" ref="G10:G28" si="1">F10*17%</f>
        <v>142.80000000000001</v>
      </c>
      <c r="H10">
        <f t="shared" ref="H10:H28" si="2">F10*19%</f>
        <v>159.6</v>
      </c>
      <c r="I10">
        <f t="shared" ref="I10:I28" si="3">H10+G10+F10</f>
        <v>1142.4000000000001</v>
      </c>
    </row>
    <row r="11" spans="1:9" x14ac:dyDescent="0.25">
      <c r="A11">
        <v>3</v>
      </c>
      <c r="B11">
        <v>10098</v>
      </c>
      <c r="C11" t="s">
        <v>70</v>
      </c>
      <c r="D11">
        <v>5</v>
      </c>
      <c r="E11">
        <v>122</v>
      </c>
      <c r="F11">
        <f t="shared" si="0"/>
        <v>610</v>
      </c>
      <c r="G11">
        <f t="shared" si="1"/>
        <v>103.7</v>
      </c>
      <c r="H11">
        <f t="shared" si="2"/>
        <v>115.9</v>
      </c>
      <c r="I11">
        <f>H11+G11+F11</f>
        <v>829.6</v>
      </c>
    </row>
    <row r="12" spans="1:9" x14ac:dyDescent="0.25">
      <c r="A12">
        <v>4</v>
      </c>
      <c r="B12">
        <v>10098</v>
      </c>
      <c r="C12" t="s">
        <v>71</v>
      </c>
      <c r="D12">
        <v>6</v>
      </c>
      <c r="E12">
        <v>120</v>
      </c>
      <c r="F12">
        <f t="shared" si="0"/>
        <v>720</v>
      </c>
      <c r="G12">
        <f t="shared" si="1"/>
        <v>122.4</v>
      </c>
      <c r="H12">
        <f t="shared" si="2"/>
        <v>136.80000000000001</v>
      </c>
      <c r="I12">
        <f>H12+G12+F12</f>
        <v>979.2</v>
      </c>
    </row>
    <row r="13" spans="1:9" x14ac:dyDescent="0.25">
      <c r="A13">
        <v>5</v>
      </c>
      <c r="B13">
        <v>10098</v>
      </c>
      <c r="C13" t="s">
        <v>72</v>
      </c>
      <c r="D13">
        <v>21</v>
      </c>
      <c r="E13">
        <v>130</v>
      </c>
      <c r="F13">
        <f t="shared" si="0"/>
        <v>2730</v>
      </c>
      <c r="G13">
        <f>F13*17%</f>
        <v>464.1</v>
      </c>
      <c r="H13">
        <f>F13*19%</f>
        <v>518.70000000000005</v>
      </c>
      <c r="I13">
        <f t="shared" si="3"/>
        <v>3712.8</v>
      </c>
    </row>
    <row r="14" spans="1:9" x14ac:dyDescent="0.25">
      <c r="A14">
        <v>6</v>
      </c>
      <c r="B14">
        <v>10098</v>
      </c>
      <c r="C14" t="s">
        <v>73</v>
      </c>
      <c r="D14">
        <v>15</v>
      </c>
      <c r="E14">
        <v>60</v>
      </c>
      <c r="F14">
        <f t="shared" si="0"/>
        <v>900</v>
      </c>
      <c r="G14">
        <f t="shared" si="1"/>
        <v>153</v>
      </c>
      <c r="H14">
        <f>F14*19%</f>
        <v>171</v>
      </c>
      <c r="I14">
        <f t="shared" si="3"/>
        <v>1224</v>
      </c>
    </row>
    <row r="15" spans="1:9" x14ac:dyDescent="0.25">
      <c r="A15">
        <v>7</v>
      </c>
      <c r="B15">
        <v>10098</v>
      </c>
      <c r="C15" t="s">
        <v>74</v>
      </c>
      <c r="D15">
        <v>5</v>
      </c>
      <c r="E15">
        <v>80</v>
      </c>
      <c r="F15">
        <f t="shared" si="0"/>
        <v>400</v>
      </c>
      <c r="G15">
        <f t="shared" si="1"/>
        <v>68</v>
      </c>
      <c r="H15">
        <f t="shared" si="2"/>
        <v>76</v>
      </c>
      <c r="I15">
        <f t="shared" si="3"/>
        <v>544</v>
      </c>
    </row>
    <row r="16" spans="1:9" x14ac:dyDescent="0.25">
      <c r="A16">
        <v>8</v>
      </c>
      <c r="B16">
        <v>10098</v>
      </c>
      <c r="C16" t="s">
        <v>75</v>
      </c>
      <c r="D16">
        <v>8</v>
      </c>
      <c r="E16">
        <v>100</v>
      </c>
      <c r="F16">
        <f t="shared" si="0"/>
        <v>800</v>
      </c>
      <c r="G16">
        <f t="shared" si="1"/>
        <v>136</v>
      </c>
      <c r="H16">
        <f t="shared" si="2"/>
        <v>152</v>
      </c>
      <c r="I16">
        <f t="shared" si="3"/>
        <v>1088</v>
      </c>
    </row>
    <row r="17" spans="1:9" x14ac:dyDescent="0.25">
      <c r="A17">
        <v>9</v>
      </c>
      <c r="B17">
        <v>10098</v>
      </c>
      <c r="C17" t="s">
        <v>76</v>
      </c>
      <c r="D17">
        <v>12</v>
      </c>
      <c r="E17">
        <v>200</v>
      </c>
      <c r="F17">
        <f t="shared" si="0"/>
        <v>2400</v>
      </c>
      <c r="G17">
        <f t="shared" si="1"/>
        <v>408.00000000000006</v>
      </c>
      <c r="H17">
        <f t="shared" si="2"/>
        <v>456</v>
      </c>
      <c r="I17">
        <f t="shared" si="3"/>
        <v>3264</v>
      </c>
    </row>
    <row r="18" spans="1:9" x14ac:dyDescent="0.25">
      <c r="A18">
        <v>10</v>
      </c>
      <c r="B18">
        <v>10098</v>
      </c>
      <c r="C18" t="s">
        <v>77</v>
      </c>
      <c r="D18">
        <v>35</v>
      </c>
      <c r="E18">
        <v>150</v>
      </c>
      <c r="F18">
        <f t="shared" si="0"/>
        <v>5250</v>
      </c>
      <c r="G18">
        <f t="shared" si="1"/>
        <v>892.50000000000011</v>
      </c>
      <c r="H18">
        <f t="shared" si="2"/>
        <v>997.5</v>
      </c>
      <c r="I18">
        <f t="shared" si="3"/>
        <v>7140</v>
      </c>
    </row>
    <row r="19" spans="1:9" x14ac:dyDescent="0.25">
      <c r="A19">
        <v>11</v>
      </c>
      <c r="B19">
        <v>10098</v>
      </c>
      <c r="C19" t="s">
        <v>68</v>
      </c>
      <c r="D19">
        <v>26</v>
      </c>
      <c r="E19">
        <v>70</v>
      </c>
      <c r="F19">
        <f t="shared" si="0"/>
        <v>1820</v>
      </c>
      <c r="G19">
        <f t="shared" si="1"/>
        <v>309.40000000000003</v>
      </c>
      <c r="H19">
        <f t="shared" si="2"/>
        <v>345.8</v>
      </c>
      <c r="I19">
        <f t="shared" si="3"/>
        <v>2475.1999999999998</v>
      </c>
    </row>
    <row r="20" spans="1:9" x14ac:dyDescent="0.25">
      <c r="A20">
        <v>12</v>
      </c>
      <c r="B20">
        <v>10098</v>
      </c>
      <c r="C20" t="s">
        <v>69</v>
      </c>
      <c r="D20">
        <v>12</v>
      </c>
      <c r="E20">
        <v>122</v>
      </c>
      <c r="F20">
        <f t="shared" si="0"/>
        <v>1464</v>
      </c>
      <c r="G20">
        <f t="shared" si="1"/>
        <v>248.88000000000002</v>
      </c>
      <c r="H20">
        <f t="shared" si="2"/>
        <v>278.16000000000003</v>
      </c>
      <c r="I20">
        <f t="shared" si="3"/>
        <v>1991.04</v>
      </c>
    </row>
    <row r="21" spans="1:9" x14ac:dyDescent="0.25">
      <c r="A21">
        <v>13</v>
      </c>
      <c r="B21">
        <v>10098</v>
      </c>
      <c r="C21" t="s">
        <v>70</v>
      </c>
      <c r="D21">
        <v>5</v>
      </c>
      <c r="E21">
        <v>120</v>
      </c>
      <c r="F21">
        <f t="shared" si="0"/>
        <v>600</v>
      </c>
      <c r="G21">
        <f>F21*17%</f>
        <v>102.00000000000001</v>
      </c>
      <c r="H21">
        <f t="shared" si="2"/>
        <v>114</v>
      </c>
      <c r="I21">
        <f t="shared" si="3"/>
        <v>816</v>
      </c>
    </row>
    <row r="22" spans="1:9" x14ac:dyDescent="0.25">
      <c r="A22">
        <v>14</v>
      </c>
      <c r="B22">
        <v>10098</v>
      </c>
      <c r="C22" t="s">
        <v>71</v>
      </c>
      <c r="D22">
        <v>3</v>
      </c>
      <c r="E22">
        <v>130</v>
      </c>
      <c r="F22">
        <f t="shared" si="0"/>
        <v>390</v>
      </c>
      <c r="G22">
        <f t="shared" si="1"/>
        <v>66.300000000000011</v>
      </c>
      <c r="H22">
        <f t="shared" si="2"/>
        <v>74.099999999999994</v>
      </c>
      <c r="I22">
        <f t="shared" si="3"/>
        <v>530.4</v>
      </c>
    </row>
    <row r="23" spans="1:9" x14ac:dyDescent="0.25">
      <c r="A23">
        <v>15</v>
      </c>
      <c r="B23">
        <v>10098</v>
      </c>
      <c r="C23" t="s">
        <v>72</v>
      </c>
      <c r="D23">
        <v>4</v>
      </c>
      <c r="E23">
        <v>60</v>
      </c>
      <c r="F23">
        <f t="shared" si="0"/>
        <v>240</v>
      </c>
      <c r="G23">
        <f t="shared" si="1"/>
        <v>40.800000000000004</v>
      </c>
      <c r="H23">
        <f t="shared" si="2"/>
        <v>45.6</v>
      </c>
      <c r="I23">
        <f t="shared" si="3"/>
        <v>326.39999999999998</v>
      </c>
    </row>
    <row r="24" spans="1:9" x14ac:dyDescent="0.25">
      <c r="A24">
        <v>16</v>
      </c>
      <c r="B24">
        <v>10098</v>
      </c>
      <c r="C24" t="s">
        <v>73</v>
      </c>
      <c r="D24">
        <v>20</v>
      </c>
      <c r="E24">
        <v>80</v>
      </c>
      <c r="F24">
        <f t="shared" si="0"/>
        <v>1600</v>
      </c>
      <c r="G24">
        <f t="shared" si="1"/>
        <v>272</v>
      </c>
      <c r="H24">
        <f t="shared" si="2"/>
        <v>304</v>
      </c>
      <c r="I24">
        <f t="shared" si="3"/>
        <v>2176</v>
      </c>
    </row>
    <row r="25" spans="1:9" x14ac:dyDescent="0.25">
      <c r="A25">
        <v>17</v>
      </c>
      <c r="B25">
        <v>10098</v>
      </c>
      <c r="C25" t="s">
        <v>74</v>
      </c>
      <c r="D25">
        <v>1</v>
      </c>
      <c r="E25">
        <v>100</v>
      </c>
      <c r="F25">
        <f t="shared" si="0"/>
        <v>100</v>
      </c>
      <c r="G25">
        <f t="shared" si="1"/>
        <v>17</v>
      </c>
      <c r="H25">
        <f t="shared" si="2"/>
        <v>19</v>
      </c>
      <c r="I25">
        <f t="shared" si="3"/>
        <v>136</v>
      </c>
    </row>
    <row r="26" spans="1:9" x14ac:dyDescent="0.25">
      <c r="A26">
        <v>18</v>
      </c>
      <c r="B26">
        <v>10098</v>
      </c>
      <c r="C26" t="s">
        <v>75</v>
      </c>
      <c r="D26">
        <v>6</v>
      </c>
      <c r="E26">
        <v>200</v>
      </c>
      <c r="F26">
        <f t="shared" si="0"/>
        <v>1200</v>
      </c>
      <c r="G26">
        <f t="shared" si="1"/>
        <v>204.00000000000003</v>
      </c>
      <c r="H26">
        <f t="shared" si="2"/>
        <v>228</v>
      </c>
      <c r="I26">
        <f t="shared" si="3"/>
        <v>1632</v>
      </c>
    </row>
    <row r="27" spans="1:9" x14ac:dyDescent="0.25">
      <c r="A27">
        <v>19</v>
      </c>
      <c r="B27">
        <v>10098</v>
      </c>
      <c r="C27" t="s">
        <v>76</v>
      </c>
      <c r="D27">
        <v>7</v>
      </c>
      <c r="E27">
        <v>200</v>
      </c>
      <c r="F27">
        <f t="shared" si="0"/>
        <v>1400</v>
      </c>
      <c r="G27">
        <f t="shared" si="1"/>
        <v>238.00000000000003</v>
      </c>
      <c r="H27">
        <f t="shared" si="2"/>
        <v>266</v>
      </c>
      <c r="I27">
        <f t="shared" si="3"/>
        <v>1904</v>
      </c>
    </row>
    <row r="28" spans="1:9" x14ac:dyDescent="0.25">
      <c r="A28">
        <v>20</v>
      </c>
      <c r="B28">
        <v>10098</v>
      </c>
      <c r="C28" t="s">
        <v>77</v>
      </c>
      <c r="D28">
        <v>20</v>
      </c>
      <c r="E28">
        <v>130</v>
      </c>
      <c r="F28">
        <f t="shared" si="0"/>
        <v>2600</v>
      </c>
      <c r="G28">
        <f t="shared" si="1"/>
        <v>442.00000000000006</v>
      </c>
      <c r="H28">
        <f t="shared" si="2"/>
        <v>494</v>
      </c>
      <c r="I28">
        <f t="shared" si="3"/>
        <v>3536</v>
      </c>
    </row>
    <row r="31" spans="1:9" x14ac:dyDescent="0.25">
      <c r="A31" t="s">
        <v>9</v>
      </c>
      <c r="B31" t="s">
        <v>81</v>
      </c>
      <c r="C31" t="s">
        <v>64</v>
      </c>
      <c r="D31" t="s">
        <v>65</v>
      </c>
      <c r="E31" t="s">
        <v>78</v>
      </c>
      <c r="F31" t="s">
        <v>79</v>
      </c>
      <c r="G31" t="s">
        <v>66</v>
      </c>
      <c r="H31" t="s">
        <v>80</v>
      </c>
      <c r="I31" t="s">
        <v>67</v>
      </c>
    </row>
    <row r="32" spans="1:9" x14ac:dyDescent="0.25">
      <c r="A32">
        <v>1</v>
      </c>
      <c r="B32">
        <v>10089</v>
      </c>
      <c r="C32" t="s">
        <v>68</v>
      </c>
      <c r="D32">
        <v>12</v>
      </c>
      <c r="E32">
        <v>80</v>
      </c>
      <c r="F32">
        <f>D32*E32</f>
        <v>960</v>
      </c>
      <c r="G32">
        <f>F32*17%</f>
        <v>163.20000000000002</v>
      </c>
      <c r="H32">
        <f>F32*19%</f>
        <v>182.4</v>
      </c>
      <c r="I32">
        <f>H32+G32+F32</f>
        <v>1305.5999999999999</v>
      </c>
    </row>
    <row r="33" spans="1:9" x14ac:dyDescent="0.25">
      <c r="A33">
        <v>2</v>
      </c>
      <c r="B33">
        <v>10089</v>
      </c>
      <c r="C33" t="s">
        <v>69</v>
      </c>
      <c r="D33">
        <v>5</v>
      </c>
      <c r="E33">
        <v>100</v>
      </c>
      <c r="F33">
        <f>E33*D33</f>
        <v>500</v>
      </c>
      <c r="G33">
        <f t="shared" ref="G33:G46" si="4">F33*17%</f>
        <v>85</v>
      </c>
      <c r="H33">
        <f t="shared" ref="H33:H46" si="5">F33*19%</f>
        <v>95</v>
      </c>
      <c r="I33">
        <f t="shared" ref="I33:I46" si="6">H33+G33+F33</f>
        <v>680</v>
      </c>
    </row>
    <row r="34" spans="1:9" x14ac:dyDescent="0.25">
      <c r="A34">
        <v>3</v>
      </c>
      <c r="B34">
        <v>10089</v>
      </c>
      <c r="C34" t="s">
        <v>70</v>
      </c>
      <c r="D34">
        <v>3</v>
      </c>
      <c r="E34">
        <v>200</v>
      </c>
      <c r="F34">
        <f t="shared" ref="F34:F46" si="7">E34*D34</f>
        <v>600</v>
      </c>
      <c r="G34">
        <f t="shared" si="4"/>
        <v>102.00000000000001</v>
      </c>
      <c r="H34">
        <f t="shared" si="5"/>
        <v>114</v>
      </c>
      <c r="I34">
        <f t="shared" si="6"/>
        <v>816</v>
      </c>
    </row>
    <row r="35" spans="1:9" x14ac:dyDescent="0.25">
      <c r="A35">
        <v>4</v>
      </c>
      <c r="B35">
        <v>10089</v>
      </c>
      <c r="C35" t="s">
        <v>71</v>
      </c>
      <c r="D35">
        <v>4</v>
      </c>
      <c r="E35">
        <v>150</v>
      </c>
      <c r="F35">
        <f t="shared" si="7"/>
        <v>600</v>
      </c>
      <c r="G35">
        <f t="shared" si="4"/>
        <v>102.00000000000001</v>
      </c>
      <c r="H35">
        <f t="shared" si="5"/>
        <v>114</v>
      </c>
      <c r="I35">
        <f t="shared" si="6"/>
        <v>816</v>
      </c>
    </row>
    <row r="36" spans="1:9" x14ac:dyDescent="0.25">
      <c r="A36">
        <v>5</v>
      </c>
      <c r="B36">
        <v>10089</v>
      </c>
      <c r="C36" t="s">
        <v>72</v>
      </c>
      <c r="D36">
        <v>20</v>
      </c>
      <c r="E36">
        <v>70</v>
      </c>
      <c r="F36">
        <f t="shared" si="7"/>
        <v>1400</v>
      </c>
      <c r="G36">
        <f>F36*17%</f>
        <v>238.00000000000003</v>
      </c>
      <c r="H36">
        <f t="shared" si="5"/>
        <v>266</v>
      </c>
      <c r="I36">
        <f t="shared" si="6"/>
        <v>1904</v>
      </c>
    </row>
    <row r="37" spans="1:9" x14ac:dyDescent="0.25">
      <c r="A37">
        <v>6</v>
      </c>
      <c r="B37">
        <v>10089</v>
      </c>
      <c r="C37" t="s">
        <v>73</v>
      </c>
      <c r="D37">
        <v>1</v>
      </c>
      <c r="E37">
        <v>122</v>
      </c>
      <c r="F37">
        <f t="shared" si="7"/>
        <v>122</v>
      </c>
      <c r="G37">
        <f t="shared" si="4"/>
        <v>20.740000000000002</v>
      </c>
      <c r="H37">
        <f t="shared" si="5"/>
        <v>23.18</v>
      </c>
      <c r="I37">
        <f t="shared" si="6"/>
        <v>165.92000000000002</v>
      </c>
    </row>
    <row r="38" spans="1:9" x14ac:dyDescent="0.25">
      <c r="A38">
        <v>7</v>
      </c>
      <c r="B38">
        <v>10089</v>
      </c>
      <c r="C38" t="s">
        <v>74</v>
      </c>
      <c r="D38">
        <v>6</v>
      </c>
      <c r="E38">
        <v>120</v>
      </c>
      <c r="F38">
        <f t="shared" si="7"/>
        <v>720</v>
      </c>
      <c r="G38">
        <f t="shared" si="4"/>
        <v>122.4</v>
      </c>
      <c r="H38">
        <f t="shared" si="5"/>
        <v>136.80000000000001</v>
      </c>
      <c r="I38">
        <f t="shared" si="6"/>
        <v>979.2</v>
      </c>
    </row>
    <row r="39" spans="1:9" x14ac:dyDescent="0.25">
      <c r="A39">
        <v>8</v>
      </c>
      <c r="B39">
        <v>10089</v>
      </c>
      <c r="C39" t="s">
        <v>75</v>
      </c>
      <c r="D39">
        <v>7</v>
      </c>
      <c r="E39">
        <v>130</v>
      </c>
      <c r="F39">
        <f t="shared" si="7"/>
        <v>910</v>
      </c>
      <c r="G39">
        <f t="shared" si="4"/>
        <v>154.70000000000002</v>
      </c>
      <c r="H39">
        <f t="shared" si="5"/>
        <v>172.9</v>
      </c>
      <c r="I39">
        <f t="shared" si="6"/>
        <v>1237.5999999999999</v>
      </c>
    </row>
    <row r="40" spans="1:9" x14ac:dyDescent="0.25">
      <c r="A40">
        <v>9</v>
      </c>
      <c r="B40">
        <v>10089</v>
      </c>
      <c r="C40" t="s">
        <v>76</v>
      </c>
      <c r="D40">
        <v>20</v>
      </c>
      <c r="E40">
        <v>60</v>
      </c>
      <c r="F40">
        <f t="shared" si="7"/>
        <v>1200</v>
      </c>
      <c r="G40">
        <f t="shared" si="4"/>
        <v>204.00000000000003</v>
      </c>
      <c r="H40">
        <f t="shared" si="5"/>
        <v>228</v>
      </c>
      <c r="I40">
        <f t="shared" si="6"/>
        <v>1632</v>
      </c>
    </row>
    <row r="41" spans="1:9" x14ac:dyDescent="0.25">
      <c r="A41">
        <v>10</v>
      </c>
      <c r="B41">
        <v>10089</v>
      </c>
      <c r="C41" t="s">
        <v>68</v>
      </c>
      <c r="D41">
        <v>21</v>
      </c>
      <c r="E41">
        <v>80</v>
      </c>
      <c r="F41">
        <f t="shared" si="7"/>
        <v>1680</v>
      </c>
      <c r="G41">
        <f t="shared" si="4"/>
        <v>285.60000000000002</v>
      </c>
      <c r="H41">
        <f t="shared" si="5"/>
        <v>319.2</v>
      </c>
      <c r="I41">
        <f t="shared" si="6"/>
        <v>2284.8000000000002</v>
      </c>
    </row>
    <row r="42" spans="1:9" x14ac:dyDescent="0.25">
      <c r="A42">
        <v>11</v>
      </c>
      <c r="B42">
        <v>10089</v>
      </c>
      <c r="C42" t="s">
        <v>69</v>
      </c>
      <c r="D42">
        <v>15</v>
      </c>
      <c r="E42">
        <v>100</v>
      </c>
      <c r="F42">
        <f t="shared" si="7"/>
        <v>1500</v>
      </c>
      <c r="G42">
        <f t="shared" si="4"/>
        <v>255.00000000000003</v>
      </c>
      <c r="H42">
        <f t="shared" si="5"/>
        <v>285</v>
      </c>
      <c r="I42">
        <f t="shared" si="6"/>
        <v>2040</v>
      </c>
    </row>
    <row r="43" spans="1:9" x14ac:dyDescent="0.25">
      <c r="A43">
        <v>12</v>
      </c>
      <c r="B43">
        <v>10089</v>
      </c>
      <c r="C43" t="s">
        <v>70</v>
      </c>
      <c r="D43">
        <v>5</v>
      </c>
      <c r="E43">
        <v>200</v>
      </c>
      <c r="F43">
        <f t="shared" si="7"/>
        <v>1000</v>
      </c>
      <c r="G43">
        <f t="shared" si="4"/>
        <v>170</v>
      </c>
      <c r="H43">
        <f t="shared" si="5"/>
        <v>190</v>
      </c>
      <c r="I43">
        <f t="shared" si="6"/>
        <v>1360</v>
      </c>
    </row>
    <row r="44" spans="1:9" x14ac:dyDescent="0.25">
      <c r="A44">
        <v>13</v>
      </c>
      <c r="B44">
        <v>10089</v>
      </c>
      <c r="C44" t="s">
        <v>71</v>
      </c>
      <c r="D44">
        <v>8</v>
      </c>
      <c r="E44">
        <v>200</v>
      </c>
      <c r="F44">
        <f t="shared" si="7"/>
        <v>1600</v>
      </c>
      <c r="G44">
        <f t="shared" si="4"/>
        <v>272</v>
      </c>
      <c r="H44">
        <f t="shared" si="5"/>
        <v>304</v>
      </c>
      <c r="I44">
        <f t="shared" si="6"/>
        <v>2176</v>
      </c>
    </row>
    <row r="45" spans="1:9" x14ac:dyDescent="0.25">
      <c r="A45">
        <v>14</v>
      </c>
      <c r="B45">
        <v>10089</v>
      </c>
      <c r="C45" t="s">
        <v>72</v>
      </c>
      <c r="D45">
        <v>12</v>
      </c>
      <c r="E45">
        <v>130</v>
      </c>
      <c r="F45">
        <f t="shared" si="7"/>
        <v>1560</v>
      </c>
      <c r="G45">
        <f t="shared" si="4"/>
        <v>265.20000000000005</v>
      </c>
      <c r="H45">
        <f>F45*19%</f>
        <v>296.39999999999998</v>
      </c>
      <c r="I45">
        <f t="shared" si="6"/>
        <v>2121.6</v>
      </c>
    </row>
    <row r="46" spans="1:9" x14ac:dyDescent="0.25">
      <c r="A46">
        <v>15</v>
      </c>
      <c r="B46">
        <v>10089</v>
      </c>
      <c r="C46" t="s">
        <v>73</v>
      </c>
      <c r="D46">
        <v>35</v>
      </c>
      <c r="E46">
        <v>100</v>
      </c>
      <c r="F46">
        <f t="shared" si="7"/>
        <v>3500</v>
      </c>
      <c r="G46">
        <f t="shared" si="4"/>
        <v>595</v>
      </c>
      <c r="H46">
        <f t="shared" si="5"/>
        <v>665</v>
      </c>
      <c r="I46">
        <f t="shared" si="6"/>
        <v>4760</v>
      </c>
    </row>
    <row r="48" spans="1:9" x14ac:dyDescent="0.25">
      <c r="A48" t="s">
        <v>9</v>
      </c>
      <c r="B48" t="s">
        <v>63</v>
      </c>
      <c r="C48" t="s">
        <v>64</v>
      </c>
      <c r="D48" t="s">
        <v>65</v>
      </c>
      <c r="E48" t="s">
        <v>78</v>
      </c>
      <c r="F48" t="s">
        <v>79</v>
      </c>
      <c r="G48" t="s">
        <v>66</v>
      </c>
      <c r="H48" t="s">
        <v>80</v>
      </c>
      <c r="I48" t="s">
        <v>67</v>
      </c>
    </row>
    <row r="49" spans="1:9" x14ac:dyDescent="0.25">
      <c r="A49">
        <v>1</v>
      </c>
      <c r="B49">
        <v>26402</v>
      </c>
      <c r="C49" t="s">
        <v>72</v>
      </c>
      <c r="D49">
        <v>21</v>
      </c>
      <c r="E49">
        <v>200</v>
      </c>
      <c r="F49">
        <f>E49*D49</f>
        <v>4200</v>
      </c>
      <c r="G49">
        <f>F49*17%</f>
        <v>714</v>
      </c>
      <c r="H49">
        <f>F49*19%</f>
        <v>798</v>
      </c>
      <c r="I49">
        <f>H49+G49+F49</f>
        <v>5712</v>
      </c>
    </row>
    <row r="50" spans="1:9" x14ac:dyDescent="0.25">
      <c r="A50">
        <v>2</v>
      </c>
      <c r="B50">
        <v>26402</v>
      </c>
      <c r="C50" t="s">
        <v>73</v>
      </c>
      <c r="D50">
        <v>15</v>
      </c>
      <c r="E50">
        <v>150</v>
      </c>
      <c r="F50">
        <f t="shared" ref="F50:F68" si="8">E50*D50</f>
        <v>2250</v>
      </c>
      <c r="G50">
        <f t="shared" ref="G50:G68" si="9">F50*17%</f>
        <v>382.5</v>
      </c>
      <c r="H50">
        <f t="shared" ref="H50:H68" si="10">F50*19%</f>
        <v>427.5</v>
      </c>
      <c r="I50">
        <f t="shared" ref="I50:I68" si="11">H50+G50+F50</f>
        <v>3060</v>
      </c>
    </row>
    <row r="51" spans="1:9" x14ac:dyDescent="0.25">
      <c r="A51">
        <v>3</v>
      </c>
      <c r="B51">
        <v>26402</v>
      </c>
      <c r="C51" t="s">
        <v>74</v>
      </c>
      <c r="D51">
        <v>5</v>
      </c>
      <c r="E51">
        <v>70</v>
      </c>
      <c r="F51">
        <f t="shared" si="8"/>
        <v>350</v>
      </c>
      <c r="G51">
        <f t="shared" si="9"/>
        <v>59.500000000000007</v>
      </c>
      <c r="H51">
        <f t="shared" si="10"/>
        <v>66.5</v>
      </c>
      <c r="I51">
        <f t="shared" si="11"/>
        <v>476</v>
      </c>
    </row>
    <row r="52" spans="1:9" x14ac:dyDescent="0.25">
      <c r="A52">
        <v>4</v>
      </c>
      <c r="B52">
        <v>26402</v>
      </c>
      <c r="C52" t="s">
        <v>75</v>
      </c>
      <c r="D52">
        <v>8</v>
      </c>
      <c r="E52">
        <v>122</v>
      </c>
      <c r="F52">
        <f t="shared" si="8"/>
        <v>976</v>
      </c>
      <c r="G52">
        <f t="shared" si="9"/>
        <v>165.92000000000002</v>
      </c>
      <c r="H52">
        <f t="shared" si="10"/>
        <v>185.44</v>
      </c>
      <c r="I52">
        <f>H52+G52+F52</f>
        <v>1327.3600000000001</v>
      </c>
    </row>
    <row r="53" spans="1:9" x14ac:dyDescent="0.25">
      <c r="A53">
        <v>5</v>
      </c>
      <c r="B53">
        <v>26402</v>
      </c>
      <c r="C53" t="s">
        <v>76</v>
      </c>
      <c r="D53">
        <v>12</v>
      </c>
      <c r="E53">
        <v>120</v>
      </c>
      <c r="F53">
        <f t="shared" si="8"/>
        <v>1440</v>
      </c>
      <c r="G53">
        <f t="shared" si="9"/>
        <v>244.8</v>
      </c>
      <c r="H53">
        <f t="shared" si="10"/>
        <v>273.60000000000002</v>
      </c>
      <c r="I53">
        <f t="shared" si="11"/>
        <v>1958.4</v>
      </c>
    </row>
    <row r="54" spans="1:9" x14ac:dyDescent="0.25">
      <c r="A54">
        <v>6</v>
      </c>
      <c r="B54">
        <v>26402</v>
      </c>
      <c r="C54" t="s">
        <v>68</v>
      </c>
      <c r="D54">
        <v>35</v>
      </c>
      <c r="E54">
        <v>130</v>
      </c>
      <c r="F54">
        <f t="shared" si="8"/>
        <v>4550</v>
      </c>
      <c r="G54">
        <f t="shared" si="9"/>
        <v>773.5</v>
      </c>
      <c r="H54">
        <f t="shared" si="10"/>
        <v>864.5</v>
      </c>
      <c r="I54">
        <f t="shared" si="11"/>
        <v>6188</v>
      </c>
    </row>
    <row r="55" spans="1:9" x14ac:dyDescent="0.25">
      <c r="A55">
        <v>7</v>
      </c>
      <c r="B55">
        <v>26402</v>
      </c>
      <c r="C55" t="s">
        <v>69</v>
      </c>
      <c r="D55">
        <v>26</v>
      </c>
      <c r="E55">
        <v>60</v>
      </c>
      <c r="F55">
        <f t="shared" si="8"/>
        <v>1560</v>
      </c>
      <c r="G55">
        <f>F55*17%</f>
        <v>265.20000000000005</v>
      </c>
      <c r="H55">
        <f>F55*19%</f>
        <v>296.39999999999998</v>
      </c>
      <c r="I55">
        <f>H55+G55+F55</f>
        <v>2121.6</v>
      </c>
    </row>
    <row r="56" spans="1:9" x14ac:dyDescent="0.25">
      <c r="A56">
        <v>8</v>
      </c>
      <c r="B56">
        <v>26402</v>
      </c>
      <c r="C56" t="s">
        <v>70</v>
      </c>
      <c r="D56">
        <v>4</v>
      </c>
      <c r="E56">
        <v>80</v>
      </c>
      <c r="F56">
        <f t="shared" si="8"/>
        <v>320</v>
      </c>
      <c r="G56">
        <f t="shared" si="9"/>
        <v>54.400000000000006</v>
      </c>
      <c r="H56">
        <f t="shared" si="10"/>
        <v>60.8</v>
      </c>
      <c r="I56">
        <f t="shared" si="11"/>
        <v>435.2</v>
      </c>
    </row>
    <row r="57" spans="1:9" x14ac:dyDescent="0.25">
      <c r="A57">
        <v>9</v>
      </c>
      <c r="B57">
        <v>26402</v>
      </c>
      <c r="C57" t="s">
        <v>71</v>
      </c>
      <c r="D57">
        <v>8</v>
      </c>
      <c r="E57">
        <v>100</v>
      </c>
      <c r="F57">
        <f t="shared" si="8"/>
        <v>800</v>
      </c>
      <c r="G57">
        <f t="shared" si="9"/>
        <v>136</v>
      </c>
      <c r="H57">
        <f t="shared" si="10"/>
        <v>152</v>
      </c>
      <c r="I57">
        <f t="shared" si="11"/>
        <v>1088</v>
      </c>
    </row>
    <row r="58" spans="1:9" x14ac:dyDescent="0.25">
      <c r="A58">
        <v>10</v>
      </c>
      <c r="B58">
        <v>26402</v>
      </c>
      <c r="C58" t="s">
        <v>72</v>
      </c>
      <c r="D58">
        <v>3</v>
      </c>
      <c r="E58">
        <v>200</v>
      </c>
      <c r="F58">
        <f t="shared" si="8"/>
        <v>600</v>
      </c>
      <c r="G58">
        <f t="shared" si="9"/>
        <v>102.00000000000001</v>
      </c>
      <c r="H58">
        <f>F58*19%</f>
        <v>114</v>
      </c>
      <c r="I58">
        <f t="shared" si="11"/>
        <v>816</v>
      </c>
    </row>
    <row r="59" spans="1:9" x14ac:dyDescent="0.25">
      <c r="A59">
        <v>11</v>
      </c>
      <c r="B59">
        <v>26402</v>
      </c>
      <c r="C59" t="s">
        <v>73</v>
      </c>
      <c r="D59">
        <v>75</v>
      </c>
      <c r="E59">
        <v>200</v>
      </c>
      <c r="F59">
        <f t="shared" si="8"/>
        <v>15000</v>
      </c>
      <c r="G59">
        <f t="shared" si="9"/>
        <v>2550</v>
      </c>
      <c r="H59">
        <f t="shared" si="10"/>
        <v>2850</v>
      </c>
      <c r="I59">
        <f t="shared" si="11"/>
        <v>20400</v>
      </c>
    </row>
    <row r="60" spans="1:9" x14ac:dyDescent="0.25">
      <c r="A60">
        <v>12</v>
      </c>
      <c r="B60">
        <v>26402</v>
      </c>
      <c r="C60" t="s">
        <v>74</v>
      </c>
      <c r="D60">
        <v>31</v>
      </c>
      <c r="E60">
        <v>130</v>
      </c>
      <c r="F60">
        <f t="shared" si="8"/>
        <v>4030</v>
      </c>
      <c r="G60">
        <f t="shared" si="9"/>
        <v>685.1</v>
      </c>
      <c r="H60">
        <f t="shared" si="10"/>
        <v>765.7</v>
      </c>
      <c r="I60">
        <f t="shared" si="11"/>
        <v>5480.8</v>
      </c>
    </row>
    <row r="61" spans="1:9" x14ac:dyDescent="0.25">
      <c r="A61">
        <v>13</v>
      </c>
      <c r="B61">
        <v>26402</v>
      </c>
      <c r="C61" t="s">
        <v>75</v>
      </c>
      <c r="D61">
        <v>21</v>
      </c>
      <c r="E61">
        <v>100</v>
      </c>
      <c r="F61">
        <f t="shared" si="8"/>
        <v>2100</v>
      </c>
      <c r="G61">
        <f t="shared" si="9"/>
        <v>357</v>
      </c>
      <c r="H61">
        <f t="shared" si="10"/>
        <v>399</v>
      </c>
      <c r="I61">
        <f t="shared" si="11"/>
        <v>2856</v>
      </c>
    </row>
    <row r="62" spans="1:9" x14ac:dyDescent="0.25">
      <c r="A62">
        <v>14</v>
      </c>
      <c r="B62">
        <v>26402</v>
      </c>
      <c r="C62" t="s">
        <v>76</v>
      </c>
      <c r="D62">
        <v>15</v>
      </c>
      <c r="E62">
        <v>111</v>
      </c>
      <c r="F62">
        <f t="shared" si="8"/>
        <v>1665</v>
      </c>
      <c r="G62">
        <f t="shared" si="9"/>
        <v>283.05</v>
      </c>
      <c r="H62">
        <f t="shared" si="10"/>
        <v>316.35000000000002</v>
      </c>
      <c r="I62">
        <f t="shared" si="11"/>
        <v>2264.4</v>
      </c>
    </row>
    <row r="63" spans="1:9" x14ac:dyDescent="0.25">
      <c r="A63">
        <v>15</v>
      </c>
      <c r="B63">
        <v>26402</v>
      </c>
      <c r="C63" t="s">
        <v>77</v>
      </c>
      <c r="D63">
        <v>5</v>
      </c>
      <c r="E63">
        <v>123</v>
      </c>
      <c r="F63">
        <f t="shared" si="8"/>
        <v>615</v>
      </c>
      <c r="G63">
        <f>F63*17%</f>
        <v>104.55000000000001</v>
      </c>
      <c r="H63">
        <f t="shared" si="10"/>
        <v>116.85</v>
      </c>
      <c r="I63">
        <f t="shared" si="11"/>
        <v>836.4</v>
      </c>
    </row>
    <row r="64" spans="1:9" x14ac:dyDescent="0.25">
      <c r="A64">
        <v>16</v>
      </c>
      <c r="B64">
        <v>26402</v>
      </c>
      <c r="C64" t="s">
        <v>68</v>
      </c>
      <c r="D64">
        <v>8</v>
      </c>
      <c r="E64">
        <v>433</v>
      </c>
      <c r="F64">
        <f t="shared" si="8"/>
        <v>3464</v>
      </c>
      <c r="G64">
        <f t="shared" si="9"/>
        <v>588.88</v>
      </c>
      <c r="H64">
        <f t="shared" si="10"/>
        <v>658.16</v>
      </c>
      <c r="I64">
        <f t="shared" si="11"/>
        <v>4711.04</v>
      </c>
    </row>
    <row r="65" spans="1:9" x14ac:dyDescent="0.25">
      <c r="A65">
        <v>17</v>
      </c>
      <c r="B65">
        <v>26402</v>
      </c>
      <c r="C65" t="s">
        <v>75</v>
      </c>
      <c r="D65">
        <v>12</v>
      </c>
      <c r="E65">
        <v>48</v>
      </c>
      <c r="F65">
        <f t="shared" si="8"/>
        <v>576</v>
      </c>
      <c r="G65">
        <f t="shared" si="9"/>
        <v>97.92</v>
      </c>
      <c r="H65">
        <f t="shared" si="10"/>
        <v>109.44</v>
      </c>
      <c r="I65">
        <f>H65+G65+F65</f>
        <v>783.36</v>
      </c>
    </row>
    <row r="66" spans="1:9" x14ac:dyDescent="0.25">
      <c r="A66">
        <v>18</v>
      </c>
      <c r="B66">
        <v>26402</v>
      </c>
      <c r="C66" t="s">
        <v>82</v>
      </c>
      <c r="D66">
        <v>35</v>
      </c>
      <c r="E66">
        <v>55</v>
      </c>
      <c r="F66">
        <f t="shared" si="8"/>
        <v>1925</v>
      </c>
      <c r="G66">
        <f t="shared" si="9"/>
        <v>327.25</v>
      </c>
      <c r="H66">
        <f>F66*19%</f>
        <v>365.75</v>
      </c>
      <c r="I66">
        <f t="shared" si="11"/>
        <v>2618</v>
      </c>
    </row>
    <row r="67" spans="1:9" x14ac:dyDescent="0.25">
      <c r="A67">
        <v>19</v>
      </c>
      <c r="B67">
        <v>26402</v>
      </c>
      <c r="C67" t="s">
        <v>83</v>
      </c>
      <c r="D67">
        <v>26</v>
      </c>
      <c r="E67">
        <v>36</v>
      </c>
      <c r="F67">
        <f t="shared" si="8"/>
        <v>936</v>
      </c>
      <c r="G67">
        <f t="shared" si="9"/>
        <v>159.12</v>
      </c>
      <c r="H67">
        <f>F67*19%</f>
        <v>177.84</v>
      </c>
      <c r="I67">
        <f t="shared" si="11"/>
        <v>1272.96</v>
      </c>
    </row>
    <row r="68" spans="1:9" x14ac:dyDescent="0.25">
      <c r="A68">
        <v>20</v>
      </c>
      <c r="B68">
        <v>26402</v>
      </c>
      <c r="C68" t="s">
        <v>72</v>
      </c>
      <c r="D68">
        <v>14</v>
      </c>
      <c r="E68">
        <v>26</v>
      </c>
      <c r="F68">
        <f t="shared" si="8"/>
        <v>364</v>
      </c>
      <c r="G68">
        <f t="shared" si="9"/>
        <v>61.88</v>
      </c>
      <c r="H68">
        <f t="shared" si="10"/>
        <v>69.16</v>
      </c>
      <c r="I68">
        <f t="shared" si="11"/>
        <v>495.03999999999996</v>
      </c>
    </row>
    <row r="70" spans="1:9" x14ac:dyDescent="0.25">
      <c r="A70" t="s">
        <v>9</v>
      </c>
      <c r="B70" t="s">
        <v>63</v>
      </c>
      <c r="C70" t="s">
        <v>64</v>
      </c>
      <c r="D70" t="s">
        <v>65</v>
      </c>
      <c r="E70" t="s">
        <v>78</v>
      </c>
      <c r="F70" t="s">
        <v>87</v>
      </c>
      <c r="G70" t="s">
        <v>66</v>
      </c>
      <c r="H70" t="s">
        <v>80</v>
      </c>
      <c r="I70" t="s">
        <v>67</v>
      </c>
    </row>
    <row r="71" spans="1:9" x14ac:dyDescent="0.25">
      <c r="A71">
        <v>1</v>
      </c>
      <c r="B71">
        <v>7868</v>
      </c>
      <c r="C71" t="s">
        <v>72</v>
      </c>
      <c r="D71">
        <v>35</v>
      </c>
      <c r="E71">
        <v>200</v>
      </c>
      <c r="F71">
        <f>E71*D71</f>
        <v>7000</v>
      </c>
      <c r="G71">
        <f>F71*17%</f>
        <v>1190</v>
      </c>
      <c r="H71">
        <f>F71*19%</f>
        <v>1330</v>
      </c>
      <c r="I71">
        <f>H71+G71+F71</f>
        <v>9520</v>
      </c>
    </row>
    <row r="72" spans="1:9" x14ac:dyDescent="0.25">
      <c r="A72">
        <v>2</v>
      </c>
      <c r="B72">
        <v>7868</v>
      </c>
      <c r="C72" t="s">
        <v>73</v>
      </c>
      <c r="D72">
        <v>65</v>
      </c>
      <c r="E72">
        <v>150</v>
      </c>
      <c r="F72">
        <f t="shared" ref="F72:F90" si="12">E72*D72</f>
        <v>9750</v>
      </c>
      <c r="G72">
        <f t="shared" ref="G72:G90" si="13">F72*17%</f>
        <v>1657.5000000000002</v>
      </c>
      <c r="H72">
        <f t="shared" ref="H72:H90" si="14">F72*19%</f>
        <v>1852.5</v>
      </c>
      <c r="I72">
        <f t="shared" ref="I72:I90" si="15">H72+G72+F72</f>
        <v>13260</v>
      </c>
    </row>
    <row r="73" spans="1:9" x14ac:dyDescent="0.25">
      <c r="A73">
        <v>3</v>
      </c>
      <c r="B73">
        <v>7868</v>
      </c>
      <c r="C73" t="s">
        <v>74</v>
      </c>
      <c r="D73">
        <v>75</v>
      </c>
      <c r="E73">
        <v>70</v>
      </c>
      <c r="F73">
        <f t="shared" si="12"/>
        <v>5250</v>
      </c>
      <c r="G73">
        <f t="shared" si="13"/>
        <v>892.50000000000011</v>
      </c>
      <c r="H73">
        <f t="shared" si="14"/>
        <v>997.5</v>
      </c>
      <c r="I73">
        <f t="shared" si="15"/>
        <v>7140</v>
      </c>
    </row>
    <row r="74" spans="1:9" x14ac:dyDescent="0.25">
      <c r="A74">
        <v>4</v>
      </c>
      <c r="B74">
        <v>7868</v>
      </c>
      <c r="C74" t="s">
        <v>75</v>
      </c>
      <c r="D74">
        <v>26</v>
      </c>
      <c r="E74">
        <v>122</v>
      </c>
      <c r="F74">
        <f t="shared" si="12"/>
        <v>3172</v>
      </c>
      <c r="G74">
        <f t="shared" si="13"/>
        <v>539.24</v>
      </c>
      <c r="H74">
        <f t="shared" si="14"/>
        <v>602.68000000000006</v>
      </c>
      <c r="I74">
        <f t="shared" si="15"/>
        <v>4313.92</v>
      </c>
    </row>
    <row r="75" spans="1:9" x14ac:dyDescent="0.25">
      <c r="A75">
        <v>5</v>
      </c>
      <c r="B75">
        <v>7868</v>
      </c>
      <c r="C75" t="s">
        <v>76</v>
      </c>
      <c r="D75">
        <v>95</v>
      </c>
      <c r="E75">
        <v>120</v>
      </c>
      <c r="F75">
        <f t="shared" si="12"/>
        <v>11400</v>
      </c>
      <c r="G75">
        <f t="shared" si="13"/>
        <v>1938.0000000000002</v>
      </c>
      <c r="H75">
        <f t="shared" si="14"/>
        <v>2166</v>
      </c>
      <c r="I75">
        <f t="shared" si="15"/>
        <v>15504</v>
      </c>
    </row>
    <row r="76" spans="1:9" x14ac:dyDescent="0.25">
      <c r="A76">
        <v>6</v>
      </c>
      <c r="B76">
        <v>7868</v>
      </c>
      <c r="C76" t="s">
        <v>68</v>
      </c>
      <c r="D76">
        <v>14</v>
      </c>
      <c r="E76">
        <v>130</v>
      </c>
      <c r="F76">
        <f t="shared" si="12"/>
        <v>1820</v>
      </c>
      <c r="G76">
        <f t="shared" si="13"/>
        <v>309.40000000000003</v>
      </c>
      <c r="H76">
        <f t="shared" si="14"/>
        <v>345.8</v>
      </c>
      <c r="I76">
        <f t="shared" si="15"/>
        <v>2475.1999999999998</v>
      </c>
    </row>
    <row r="77" spans="1:9" x14ac:dyDescent="0.25">
      <c r="A77">
        <v>7</v>
      </c>
      <c r="B77">
        <v>7868</v>
      </c>
      <c r="C77" t="s">
        <v>69</v>
      </c>
      <c r="D77">
        <v>75</v>
      </c>
      <c r="E77">
        <v>60</v>
      </c>
      <c r="F77">
        <f t="shared" si="12"/>
        <v>4500</v>
      </c>
      <c r="G77">
        <f t="shared" si="13"/>
        <v>765</v>
      </c>
      <c r="H77">
        <f t="shared" si="14"/>
        <v>855</v>
      </c>
      <c r="I77">
        <f t="shared" si="15"/>
        <v>6120</v>
      </c>
    </row>
    <row r="78" spans="1:9" x14ac:dyDescent="0.25">
      <c r="A78">
        <v>8</v>
      </c>
      <c r="B78">
        <v>7868</v>
      </c>
      <c r="C78" t="s">
        <v>70</v>
      </c>
      <c r="D78">
        <v>35</v>
      </c>
      <c r="E78">
        <v>80</v>
      </c>
      <c r="F78">
        <f t="shared" si="12"/>
        <v>2800</v>
      </c>
      <c r="G78">
        <f t="shared" si="13"/>
        <v>476.00000000000006</v>
      </c>
      <c r="H78">
        <f t="shared" si="14"/>
        <v>532</v>
      </c>
      <c r="I78">
        <f t="shared" si="15"/>
        <v>3808</v>
      </c>
    </row>
    <row r="79" spans="1:9" x14ac:dyDescent="0.25">
      <c r="A79">
        <v>9</v>
      </c>
      <c r="B79">
        <v>7868</v>
      </c>
      <c r="C79" t="s">
        <v>71</v>
      </c>
      <c r="D79">
        <v>69</v>
      </c>
      <c r="E79">
        <v>100</v>
      </c>
      <c r="F79">
        <f t="shared" si="12"/>
        <v>6900</v>
      </c>
      <c r="G79">
        <f t="shared" si="13"/>
        <v>1173</v>
      </c>
      <c r="H79">
        <f t="shared" si="14"/>
        <v>1311</v>
      </c>
      <c r="I79">
        <f t="shared" si="15"/>
        <v>9384</v>
      </c>
    </row>
    <row r="80" spans="1:9" x14ac:dyDescent="0.25">
      <c r="A80">
        <v>10</v>
      </c>
      <c r="B80">
        <v>7868</v>
      </c>
      <c r="C80" t="s">
        <v>72</v>
      </c>
      <c r="D80">
        <v>23</v>
      </c>
      <c r="E80">
        <v>200</v>
      </c>
      <c r="F80">
        <f t="shared" si="12"/>
        <v>4600</v>
      </c>
      <c r="G80">
        <f t="shared" si="13"/>
        <v>782</v>
      </c>
      <c r="H80">
        <f t="shared" si="14"/>
        <v>874</v>
      </c>
      <c r="I80">
        <f t="shared" si="15"/>
        <v>6256</v>
      </c>
    </row>
    <row r="81" spans="1:9" x14ac:dyDescent="0.25">
      <c r="A81">
        <v>11</v>
      </c>
      <c r="B81">
        <v>7868</v>
      </c>
      <c r="C81" t="s">
        <v>73</v>
      </c>
      <c r="D81">
        <v>34</v>
      </c>
      <c r="E81">
        <v>80</v>
      </c>
      <c r="F81">
        <f t="shared" si="12"/>
        <v>2720</v>
      </c>
      <c r="G81">
        <f t="shared" si="13"/>
        <v>462.40000000000003</v>
      </c>
      <c r="H81">
        <f t="shared" si="14"/>
        <v>516.79999999999995</v>
      </c>
      <c r="I81">
        <f t="shared" si="15"/>
        <v>3699.2</v>
      </c>
    </row>
    <row r="82" spans="1:9" x14ac:dyDescent="0.25">
      <c r="A82">
        <v>12</v>
      </c>
      <c r="B82">
        <v>7868</v>
      </c>
      <c r="C82" t="s">
        <v>77</v>
      </c>
      <c r="D82">
        <v>42</v>
      </c>
      <c r="E82">
        <v>100</v>
      </c>
      <c r="F82">
        <f t="shared" si="12"/>
        <v>4200</v>
      </c>
      <c r="G82">
        <f t="shared" si="13"/>
        <v>714</v>
      </c>
      <c r="H82">
        <f t="shared" si="14"/>
        <v>798</v>
      </c>
      <c r="I82">
        <f t="shared" si="15"/>
        <v>5712</v>
      </c>
    </row>
    <row r="83" spans="1:9" x14ac:dyDescent="0.25">
      <c r="A83">
        <v>13</v>
      </c>
      <c r="B83">
        <v>7868</v>
      </c>
      <c r="C83" t="s">
        <v>68</v>
      </c>
      <c r="D83">
        <v>68</v>
      </c>
      <c r="E83">
        <v>200</v>
      </c>
      <c r="F83">
        <f t="shared" si="12"/>
        <v>13600</v>
      </c>
      <c r="G83">
        <f t="shared" si="13"/>
        <v>2312</v>
      </c>
      <c r="H83">
        <f t="shared" si="14"/>
        <v>2584</v>
      </c>
      <c r="I83">
        <f t="shared" si="15"/>
        <v>18496</v>
      </c>
    </row>
    <row r="84" spans="1:9" x14ac:dyDescent="0.25">
      <c r="A84">
        <v>14</v>
      </c>
      <c r="B84">
        <v>7868</v>
      </c>
      <c r="C84" t="s">
        <v>75</v>
      </c>
      <c r="D84">
        <v>78</v>
      </c>
      <c r="E84">
        <v>200</v>
      </c>
      <c r="F84">
        <f t="shared" si="12"/>
        <v>15600</v>
      </c>
      <c r="G84">
        <f t="shared" si="13"/>
        <v>2652</v>
      </c>
      <c r="H84">
        <f t="shared" si="14"/>
        <v>2964</v>
      </c>
      <c r="I84">
        <f t="shared" si="15"/>
        <v>21216</v>
      </c>
    </row>
    <row r="85" spans="1:9" x14ac:dyDescent="0.25">
      <c r="A85">
        <v>15</v>
      </c>
      <c r="B85">
        <v>7868</v>
      </c>
      <c r="C85" t="s">
        <v>82</v>
      </c>
      <c r="D85">
        <v>69</v>
      </c>
      <c r="E85">
        <v>130</v>
      </c>
      <c r="F85">
        <f t="shared" si="12"/>
        <v>8970</v>
      </c>
      <c r="G85">
        <f t="shared" si="13"/>
        <v>1524.9</v>
      </c>
      <c r="H85">
        <f t="shared" si="14"/>
        <v>1704.3</v>
      </c>
      <c r="I85">
        <f t="shared" si="15"/>
        <v>12199.2</v>
      </c>
    </row>
    <row r="86" spans="1:9" x14ac:dyDescent="0.25">
      <c r="A86">
        <v>16</v>
      </c>
      <c r="B86">
        <v>7868</v>
      </c>
      <c r="C86" t="s">
        <v>83</v>
      </c>
      <c r="D86">
        <v>41</v>
      </c>
      <c r="E86">
        <v>100</v>
      </c>
      <c r="F86">
        <f t="shared" si="12"/>
        <v>4100</v>
      </c>
      <c r="G86">
        <f t="shared" si="13"/>
        <v>697</v>
      </c>
      <c r="H86">
        <f t="shared" si="14"/>
        <v>779</v>
      </c>
      <c r="I86">
        <f t="shared" si="15"/>
        <v>5576</v>
      </c>
    </row>
    <row r="87" spans="1:9" x14ac:dyDescent="0.25">
      <c r="A87">
        <v>17</v>
      </c>
      <c r="B87">
        <v>7868</v>
      </c>
      <c r="C87" t="s">
        <v>72</v>
      </c>
      <c r="D87">
        <v>32</v>
      </c>
      <c r="E87">
        <v>45</v>
      </c>
      <c r="F87">
        <f t="shared" si="12"/>
        <v>1440</v>
      </c>
      <c r="G87">
        <f t="shared" si="13"/>
        <v>244.8</v>
      </c>
      <c r="H87">
        <f t="shared" si="14"/>
        <v>273.60000000000002</v>
      </c>
      <c r="I87">
        <f t="shared" si="15"/>
        <v>1958.4</v>
      </c>
    </row>
    <row r="88" spans="1:9" x14ac:dyDescent="0.25">
      <c r="A88">
        <v>18</v>
      </c>
      <c r="B88">
        <v>7868</v>
      </c>
      <c r="C88" t="s">
        <v>84</v>
      </c>
      <c r="D88">
        <v>84</v>
      </c>
      <c r="E88">
        <v>59</v>
      </c>
      <c r="F88">
        <f t="shared" si="12"/>
        <v>4956</v>
      </c>
      <c r="G88">
        <f t="shared" si="13"/>
        <v>842.5200000000001</v>
      </c>
      <c r="H88">
        <f t="shared" si="14"/>
        <v>941.64</v>
      </c>
      <c r="I88">
        <f t="shared" si="15"/>
        <v>6740.16</v>
      </c>
    </row>
    <row r="89" spans="1:9" x14ac:dyDescent="0.25">
      <c r="A89">
        <v>19</v>
      </c>
      <c r="B89">
        <v>7868</v>
      </c>
      <c r="C89" t="s">
        <v>85</v>
      </c>
      <c r="D89">
        <v>78</v>
      </c>
      <c r="E89">
        <v>57</v>
      </c>
      <c r="F89">
        <f t="shared" si="12"/>
        <v>4446</v>
      </c>
      <c r="G89">
        <f t="shared" si="13"/>
        <v>755.82</v>
      </c>
      <c r="H89">
        <f t="shared" si="14"/>
        <v>844.74</v>
      </c>
      <c r="I89">
        <f t="shared" si="15"/>
        <v>6046.5599999999995</v>
      </c>
    </row>
    <row r="90" spans="1:9" x14ac:dyDescent="0.25">
      <c r="A90">
        <v>20</v>
      </c>
      <c r="B90">
        <v>7868</v>
      </c>
      <c r="C90" t="s">
        <v>86</v>
      </c>
      <c r="D90">
        <v>95</v>
      </c>
      <c r="E90">
        <v>32</v>
      </c>
      <c r="F90">
        <f t="shared" si="12"/>
        <v>3040</v>
      </c>
      <c r="G90">
        <f t="shared" si="13"/>
        <v>516.80000000000007</v>
      </c>
      <c r="H90">
        <f t="shared" si="14"/>
        <v>577.6</v>
      </c>
      <c r="I90">
        <f t="shared" si="15"/>
        <v>4134.3999999999996</v>
      </c>
    </row>
    <row r="104" spans="5:13" x14ac:dyDescent="0.25">
      <c r="E104" s="18" t="s">
        <v>246</v>
      </c>
      <c r="F104" t="s">
        <v>245</v>
      </c>
      <c r="G104" t="s">
        <v>256</v>
      </c>
      <c r="H104" t="s">
        <v>253</v>
      </c>
      <c r="I104" t="s">
        <v>254</v>
      </c>
      <c r="J104" t="s">
        <v>260</v>
      </c>
      <c r="K104" t="s">
        <v>250</v>
      </c>
      <c r="L104" t="s">
        <v>251</v>
      </c>
      <c r="M104" t="s">
        <v>252</v>
      </c>
    </row>
    <row r="105" spans="5:13" x14ac:dyDescent="0.25">
      <c r="E105" s="19" t="s">
        <v>68</v>
      </c>
      <c r="F105" s="12">
        <v>19</v>
      </c>
      <c r="G105" s="12">
        <v>15736</v>
      </c>
      <c r="H105" s="12">
        <v>82</v>
      </c>
      <c r="I105" s="12">
        <v>330</v>
      </c>
      <c r="J105" s="12">
        <v>15420</v>
      </c>
      <c r="K105" s="12">
        <v>2621.4</v>
      </c>
      <c r="L105" s="12">
        <v>2929.8</v>
      </c>
      <c r="M105" s="12">
        <v>20971.2</v>
      </c>
    </row>
    <row r="106" spans="5:13" x14ac:dyDescent="0.25">
      <c r="E106" s="19" t="s">
        <v>69</v>
      </c>
      <c r="F106" s="12">
        <v>7</v>
      </c>
      <c r="G106" s="12">
        <v>7868</v>
      </c>
      <c r="H106" s="12">
        <v>75</v>
      </c>
      <c r="I106" s="12">
        <v>60</v>
      </c>
      <c r="J106" s="12">
        <v>4500</v>
      </c>
      <c r="K106" s="12">
        <v>765</v>
      </c>
      <c r="L106" s="12">
        <v>855</v>
      </c>
      <c r="M106" s="12">
        <v>6120</v>
      </c>
    </row>
    <row r="107" spans="5:13" x14ac:dyDescent="0.25">
      <c r="E107" s="19" t="s">
        <v>77</v>
      </c>
      <c r="F107" s="12">
        <v>12</v>
      </c>
      <c r="G107" s="12">
        <v>7868</v>
      </c>
      <c r="H107" s="12">
        <v>42</v>
      </c>
      <c r="I107" s="12">
        <v>100</v>
      </c>
      <c r="J107" s="12">
        <v>4200</v>
      </c>
      <c r="K107" s="12">
        <v>714</v>
      </c>
      <c r="L107" s="12">
        <v>798</v>
      </c>
      <c r="M107" s="12">
        <v>5712</v>
      </c>
    </row>
    <row r="108" spans="5:13" x14ac:dyDescent="0.25">
      <c r="E108" s="19" t="s">
        <v>70</v>
      </c>
      <c r="F108" s="12">
        <v>8</v>
      </c>
      <c r="G108" s="12">
        <v>7868</v>
      </c>
      <c r="H108" s="12">
        <v>35</v>
      </c>
      <c r="I108" s="12">
        <v>80</v>
      </c>
      <c r="J108" s="12">
        <v>2800</v>
      </c>
      <c r="K108" s="12">
        <v>476.00000000000006</v>
      </c>
      <c r="L108" s="12">
        <v>532</v>
      </c>
      <c r="M108" s="12">
        <v>3808</v>
      </c>
    </row>
    <row r="109" spans="5:13" x14ac:dyDescent="0.25">
      <c r="E109" s="19" t="s">
        <v>83</v>
      </c>
      <c r="F109" s="12">
        <v>16</v>
      </c>
      <c r="G109" s="12">
        <v>7868</v>
      </c>
      <c r="H109" s="12">
        <v>41</v>
      </c>
      <c r="I109" s="12">
        <v>100</v>
      </c>
      <c r="J109" s="12">
        <v>4100</v>
      </c>
      <c r="K109" s="12">
        <v>697</v>
      </c>
      <c r="L109" s="12">
        <v>779</v>
      </c>
      <c r="M109" s="12">
        <v>5576</v>
      </c>
    </row>
    <row r="110" spans="5:13" x14ac:dyDescent="0.25">
      <c r="E110" s="19" t="s">
        <v>75</v>
      </c>
      <c r="F110" s="12">
        <v>18</v>
      </c>
      <c r="G110" s="12">
        <v>15736</v>
      </c>
      <c r="H110" s="12">
        <v>104</v>
      </c>
      <c r="I110" s="12">
        <v>322</v>
      </c>
      <c r="J110" s="12">
        <v>18772</v>
      </c>
      <c r="K110" s="12">
        <v>3191.24</v>
      </c>
      <c r="L110" s="12">
        <v>3566.6800000000003</v>
      </c>
      <c r="M110" s="12">
        <v>25529.919999999998</v>
      </c>
    </row>
    <row r="111" spans="5:13" x14ac:dyDescent="0.25">
      <c r="E111" s="19" t="s">
        <v>76</v>
      </c>
      <c r="F111" s="12">
        <v>5</v>
      </c>
      <c r="G111" s="12">
        <v>7868</v>
      </c>
      <c r="H111" s="12">
        <v>95</v>
      </c>
      <c r="I111" s="12">
        <v>120</v>
      </c>
      <c r="J111" s="12">
        <v>11400</v>
      </c>
      <c r="K111" s="12">
        <v>1938.0000000000002</v>
      </c>
      <c r="L111" s="12">
        <v>2166</v>
      </c>
      <c r="M111" s="12">
        <v>15504</v>
      </c>
    </row>
    <row r="112" spans="5:13" x14ac:dyDescent="0.25">
      <c r="E112" s="19" t="s">
        <v>72</v>
      </c>
      <c r="F112" s="12">
        <v>28</v>
      </c>
      <c r="G112" s="12">
        <v>23604</v>
      </c>
      <c r="H112" s="12">
        <v>90</v>
      </c>
      <c r="I112" s="12">
        <v>445</v>
      </c>
      <c r="J112" s="12">
        <v>13040</v>
      </c>
      <c r="K112" s="12">
        <v>2216.8000000000002</v>
      </c>
      <c r="L112" s="12">
        <v>2477.6</v>
      </c>
      <c r="M112" s="12">
        <v>17734.400000000001</v>
      </c>
    </row>
    <row r="113" spans="5:13" x14ac:dyDescent="0.25">
      <c r="E113" s="19" t="s">
        <v>74</v>
      </c>
      <c r="F113" s="12">
        <v>3</v>
      </c>
      <c r="G113" s="12">
        <v>7868</v>
      </c>
      <c r="H113" s="12">
        <v>75</v>
      </c>
      <c r="I113" s="12">
        <v>70</v>
      </c>
      <c r="J113" s="12">
        <v>5250</v>
      </c>
      <c r="K113" s="12">
        <v>892.50000000000011</v>
      </c>
      <c r="L113" s="12">
        <v>997.5</v>
      </c>
      <c r="M113" s="12">
        <v>7140</v>
      </c>
    </row>
    <row r="114" spans="5:13" x14ac:dyDescent="0.25">
      <c r="E114" s="19" t="s">
        <v>82</v>
      </c>
      <c r="F114" s="12">
        <v>15</v>
      </c>
      <c r="G114" s="12">
        <v>7868</v>
      </c>
      <c r="H114" s="12">
        <v>69</v>
      </c>
      <c r="I114" s="12">
        <v>130</v>
      </c>
      <c r="J114" s="12">
        <v>8970</v>
      </c>
      <c r="K114" s="12">
        <v>1524.9</v>
      </c>
      <c r="L114" s="12">
        <v>1704.3</v>
      </c>
      <c r="M114" s="12">
        <v>12199.2</v>
      </c>
    </row>
    <row r="115" spans="5:13" x14ac:dyDescent="0.25">
      <c r="E115" s="19" t="s">
        <v>84</v>
      </c>
      <c r="F115" s="12">
        <v>18</v>
      </c>
      <c r="G115" s="12">
        <v>7868</v>
      </c>
      <c r="H115" s="12">
        <v>84</v>
      </c>
      <c r="I115" s="12">
        <v>59</v>
      </c>
      <c r="J115" s="12">
        <v>4956</v>
      </c>
      <c r="K115" s="12">
        <v>842.5200000000001</v>
      </c>
      <c r="L115" s="12">
        <v>941.64</v>
      </c>
      <c r="M115" s="12">
        <v>6740.16</v>
      </c>
    </row>
    <row r="116" spans="5:13" x14ac:dyDescent="0.25">
      <c r="E116" s="19" t="s">
        <v>86</v>
      </c>
      <c r="F116" s="12">
        <v>20</v>
      </c>
      <c r="G116" s="12">
        <v>7868</v>
      </c>
      <c r="H116" s="12">
        <v>95</v>
      </c>
      <c r="I116" s="12">
        <v>32</v>
      </c>
      <c r="J116" s="12">
        <v>3040</v>
      </c>
      <c r="K116" s="12">
        <v>516.80000000000007</v>
      </c>
      <c r="L116" s="12">
        <v>577.6</v>
      </c>
      <c r="M116" s="12">
        <v>4134.3999999999996</v>
      </c>
    </row>
    <row r="117" spans="5:13" x14ac:dyDescent="0.25">
      <c r="E117" s="19" t="s">
        <v>85</v>
      </c>
      <c r="F117" s="12">
        <v>19</v>
      </c>
      <c r="G117" s="12">
        <v>7868</v>
      </c>
      <c r="H117" s="12">
        <v>78</v>
      </c>
      <c r="I117" s="12">
        <v>57</v>
      </c>
      <c r="J117" s="12">
        <v>4446</v>
      </c>
      <c r="K117" s="12">
        <v>755.82</v>
      </c>
      <c r="L117" s="12">
        <v>844.74</v>
      </c>
      <c r="M117" s="12">
        <v>6046.5599999999995</v>
      </c>
    </row>
    <row r="118" spans="5:13" x14ac:dyDescent="0.25">
      <c r="E118" s="19" t="s">
        <v>73</v>
      </c>
      <c r="F118" s="12">
        <v>13</v>
      </c>
      <c r="G118" s="12">
        <v>15736</v>
      </c>
      <c r="H118" s="12">
        <v>99</v>
      </c>
      <c r="I118" s="12">
        <v>230</v>
      </c>
      <c r="J118" s="12">
        <v>12470</v>
      </c>
      <c r="K118" s="12">
        <v>2119.9</v>
      </c>
      <c r="L118" s="12">
        <v>2369.3000000000002</v>
      </c>
      <c r="M118" s="12">
        <v>16959.2</v>
      </c>
    </row>
    <row r="119" spans="5:13" x14ac:dyDescent="0.25">
      <c r="E119" s="19" t="s">
        <v>71</v>
      </c>
      <c r="F119" s="12">
        <v>9</v>
      </c>
      <c r="G119" s="12">
        <v>7868</v>
      </c>
      <c r="H119" s="12">
        <v>69</v>
      </c>
      <c r="I119" s="12">
        <v>100</v>
      </c>
      <c r="J119" s="12">
        <v>6900</v>
      </c>
      <c r="K119" s="12">
        <v>1173</v>
      </c>
      <c r="L119" s="12">
        <v>1311</v>
      </c>
      <c r="M119" s="12">
        <v>9384</v>
      </c>
    </row>
    <row r="120" spans="5:13" x14ac:dyDescent="0.25">
      <c r="E120" s="19" t="s">
        <v>247</v>
      </c>
      <c r="F120" s="12">
        <v>210</v>
      </c>
      <c r="G120" s="12">
        <v>157360</v>
      </c>
      <c r="H120" s="12">
        <v>1133</v>
      </c>
      <c r="I120" s="12">
        <v>2235</v>
      </c>
      <c r="J120" s="12">
        <v>120264</v>
      </c>
      <c r="K120" s="12">
        <v>20444.88</v>
      </c>
      <c r="L120" s="12">
        <v>22850.16</v>
      </c>
      <c r="M120" s="12">
        <v>163559.04000000001</v>
      </c>
    </row>
  </sheetData>
  <mergeCells count="1">
    <mergeCell ref="E1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5"/>
  <sheetViews>
    <sheetView topLeftCell="X1" zoomScaleNormal="100" workbookViewId="0">
      <selection activeCell="AM56" sqref="AM56"/>
    </sheetView>
  </sheetViews>
  <sheetFormatPr defaultRowHeight="15" x14ac:dyDescent="0.25"/>
  <cols>
    <col min="2" max="2" width="15.5703125" customWidth="1"/>
    <col min="33" max="33" width="13.42578125" customWidth="1"/>
    <col min="34" max="34" width="11.85546875" customWidth="1"/>
    <col min="36" max="36" width="12.85546875" customWidth="1"/>
    <col min="38" max="38" width="14.28515625" customWidth="1"/>
    <col min="41" max="41" width="13" customWidth="1"/>
  </cols>
  <sheetData>
    <row r="1" spans="1:41" x14ac:dyDescent="0.25">
      <c r="AD1" s="36"/>
      <c r="AE1" s="35"/>
      <c r="AF1" s="35"/>
      <c r="AG1" s="35"/>
      <c r="AH1" s="35"/>
      <c r="AI1" s="35"/>
      <c r="AJ1" s="35"/>
    </row>
    <row r="2" spans="1:41" x14ac:dyDescent="0.25">
      <c r="G2" s="35" t="s">
        <v>88</v>
      </c>
      <c r="H2" s="35"/>
      <c r="I2" s="35"/>
      <c r="J2" s="35"/>
      <c r="AD2" s="35"/>
      <c r="AE2" s="35"/>
      <c r="AF2" s="35"/>
      <c r="AG2" s="35"/>
      <c r="AH2" s="35"/>
      <c r="AI2" s="35"/>
      <c r="AJ2" s="35"/>
    </row>
    <row r="3" spans="1:41" x14ac:dyDescent="0.25">
      <c r="G3" s="35"/>
      <c r="H3" s="35"/>
      <c r="I3" s="35"/>
      <c r="J3" s="35"/>
      <c r="AD3" s="35"/>
      <c r="AE3" s="35"/>
      <c r="AF3" s="35"/>
      <c r="AG3" s="35"/>
      <c r="AH3" s="35"/>
      <c r="AI3" s="35"/>
      <c r="AJ3" s="35"/>
    </row>
    <row r="4" spans="1:41" x14ac:dyDescent="0.25">
      <c r="G4" s="35"/>
      <c r="H4" s="35"/>
      <c r="I4" s="35"/>
      <c r="J4" s="35"/>
      <c r="AD4" s="35"/>
      <c r="AE4" s="35"/>
      <c r="AF4" s="35"/>
      <c r="AG4" s="35"/>
      <c r="AH4" s="35"/>
      <c r="AI4" s="35"/>
      <c r="AJ4" s="35"/>
    </row>
    <row r="5" spans="1:41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  <c r="AB5">
        <v>26</v>
      </c>
      <c r="AC5">
        <v>27</v>
      </c>
      <c r="AD5">
        <v>28</v>
      </c>
      <c r="AE5">
        <v>29</v>
      </c>
      <c r="AF5">
        <v>30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107</v>
      </c>
      <c r="AO5" s="4" t="s">
        <v>25</v>
      </c>
    </row>
    <row r="6" spans="1:41" x14ac:dyDescent="0.25">
      <c r="A6" t="s">
        <v>9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P6" t="s">
        <v>96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95</v>
      </c>
      <c r="W6" t="s">
        <v>96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  <c r="AC6" t="s">
        <v>95</v>
      </c>
      <c r="AD6" t="s">
        <v>96</v>
      </c>
      <c r="AE6" t="s">
        <v>90</v>
      </c>
      <c r="AF6" t="s">
        <v>91</v>
      </c>
      <c r="AO6" s="4"/>
    </row>
    <row r="7" spans="1:41" x14ac:dyDescent="0.25">
      <c r="A7">
        <v>1</v>
      </c>
      <c r="B7" t="s">
        <v>26</v>
      </c>
      <c r="C7" t="s">
        <v>98</v>
      </c>
      <c r="D7" t="s">
        <v>98</v>
      </c>
      <c r="E7" t="s">
        <v>98</v>
      </c>
      <c r="F7" t="s">
        <v>98</v>
      </c>
      <c r="G7" t="s">
        <v>99</v>
      </c>
      <c r="H7" s="2" t="s">
        <v>97</v>
      </c>
      <c r="I7" t="s">
        <v>98</v>
      </c>
      <c r="J7" t="s">
        <v>98</v>
      </c>
      <c r="K7" t="s">
        <v>0</v>
      </c>
      <c r="L7" t="s">
        <v>98</v>
      </c>
      <c r="M7" t="s">
        <v>98</v>
      </c>
      <c r="N7" t="s">
        <v>98</v>
      </c>
      <c r="O7" t="s">
        <v>97</v>
      </c>
      <c r="P7" t="s">
        <v>99</v>
      </c>
      <c r="Q7" t="s">
        <v>98</v>
      </c>
      <c r="R7" t="s">
        <v>98</v>
      </c>
      <c r="S7" t="s">
        <v>98</v>
      </c>
      <c r="T7" t="s">
        <v>98</v>
      </c>
      <c r="U7" t="s">
        <v>98</v>
      </c>
      <c r="V7" t="s">
        <v>97</v>
      </c>
      <c r="W7" t="s">
        <v>98</v>
      </c>
      <c r="X7" t="s">
        <v>98</v>
      </c>
      <c r="Y7" t="s">
        <v>98</v>
      </c>
      <c r="Z7" t="s">
        <v>98</v>
      </c>
      <c r="AA7" t="s">
        <v>0</v>
      </c>
      <c r="AB7" t="s">
        <v>98</v>
      </c>
      <c r="AC7" t="s">
        <v>97</v>
      </c>
      <c r="AD7" t="s">
        <v>99</v>
      </c>
      <c r="AE7" t="s">
        <v>98</v>
      </c>
      <c r="AF7" t="s">
        <v>98</v>
      </c>
      <c r="AG7">
        <f>COUNTIF(C7:AF7,"P")</f>
        <v>21</v>
      </c>
      <c r="AH7">
        <f>COUNTIF(C7:AF7,"A")</f>
        <v>2</v>
      </c>
      <c r="AI7">
        <f>COUNTIF(C7:AF7,"L")</f>
        <v>3</v>
      </c>
      <c r="AJ7">
        <f>COUNTIF(C7:AF7,"H")</f>
        <v>4</v>
      </c>
      <c r="AK7">
        <f>AJ7+AI7+AG7</f>
        <v>28</v>
      </c>
      <c r="AL7">
        <v>1000</v>
      </c>
      <c r="AM7">
        <f>AL7*AK7</f>
        <v>28000</v>
      </c>
      <c r="AN7">
        <f>AM7*12%</f>
        <v>3360</v>
      </c>
      <c r="AO7" s="4">
        <f>AM7-AN7</f>
        <v>24640</v>
      </c>
    </row>
    <row r="8" spans="1:41" x14ac:dyDescent="0.25">
      <c r="A8">
        <v>2</v>
      </c>
      <c r="B8" t="s">
        <v>27</v>
      </c>
      <c r="C8" t="s">
        <v>98</v>
      </c>
      <c r="D8" t="s">
        <v>98</v>
      </c>
      <c r="E8" t="s">
        <v>98</v>
      </c>
      <c r="F8" t="s">
        <v>98</v>
      </c>
      <c r="G8" t="s">
        <v>98</v>
      </c>
      <c r="H8" s="2" t="s">
        <v>97</v>
      </c>
      <c r="I8" t="s">
        <v>98</v>
      </c>
      <c r="J8" t="s">
        <v>98</v>
      </c>
      <c r="K8" t="s">
        <v>98</v>
      </c>
      <c r="L8" t="s">
        <v>98</v>
      </c>
      <c r="M8" t="s">
        <v>98</v>
      </c>
      <c r="N8" t="s">
        <v>98</v>
      </c>
      <c r="O8" t="s">
        <v>97</v>
      </c>
      <c r="P8" t="s">
        <v>98</v>
      </c>
      <c r="Q8" t="s">
        <v>98</v>
      </c>
      <c r="R8" t="s">
        <v>98</v>
      </c>
      <c r="S8" t="s">
        <v>98</v>
      </c>
      <c r="T8" t="s">
        <v>98</v>
      </c>
      <c r="U8" t="s">
        <v>98</v>
      </c>
      <c r="V8" t="s">
        <v>97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97</v>
      </c>
      <c r="AD8" t="s">
        <v>98</v>
      </c>
      <c r="AE8" t="s">
        <v>98</v>
      </c>
      <c r="AF8" t="s">
        <v>98</v>
      </c>
      <c r="AG8">
        <f t="shared" ref="AG8:AG28" si="0">COUNTIF(C8:AF8,"P")</f>
        <v>26</v>
      </c>
      <c r="AH8">
        <f t="shared" ref="AH8:AH28" si="1">COUNTIF(C8:AF8,"A")</f>
        <v>0</v>
      </c>
      <c r="AI8">
        <f t="shared" ref="AI8:AI28" si="2">COUNTIF(C8:AF8,"L")</f>
        <v>0</v>
      </c>
      <c r="AJ8">
        <f t="shared" ref="AJ8:AJ28" si="3">COUNTIF(C8:AF8,"H")</f>
        <v>4</v>
      </c>
      <c r="AK8">
        <f t="shared" ref="AK8:AK28" si="4">AJ8+AI8+AG8</f>
        <v>30</v>
      </c>
      <c r="AL8">
        <v>1500</v>
      </c>
      <c r="AM8">
        <f t="shared" ref="AM8:AM28" si="5">AL8*AK8</f>
        <v>45000</v>
      </c>
      <c r="AN8">
        <f t="shared" ref="AN8:AN28" si="6">AM8*12%</f>
        <v>5400</v>
      </c>
      <c r="AO8" s="4">
        <f t="shared" ref="AO8:AO28" si="7">AM8-AN8</f>
        <v>39600</v>
      </c>
    </row>
    <row r="9" spans="1:41" x14ac:dyDescent="0.25">
      <c r="A9">
        <v>3</v>
      </c>
      <c r="B9" t="s">
        <v>28</v>
      </c>
      <c r="C9" t="s">
        <v>98</v>
      </c>
      <c r="D9" t="s">
        <v>98</v>
      </c>
      <c r="E9" t="s">
        <v>98</v>
      </c>
      <c r="F9" t="s">
        <v>98</v>
      </c>
      <c r="G9" t="s">
        <v>98</v>
      </c>
      <c r="H9" s="2" t="s">
        <v>97</v>
      </c>
      <c r="I9" t="s">
        <v>99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  <c r="O9" t="s">
        <v>97</v>
      </c>
      <c r="P9" t="s">
        <v>98</v>
      </c>
      <c r="Q9" t="s">
        <v>98</v>
      </c>
      <c r="R9" t="s">
        <v>98</v>
      </c>
      <c r="S9" t="s">
        <v>98</v>
      </c>
      <c r="T9" t="s">
        <v>98</v>
      </c>
      <c r="U9" t="s">
        <v>98</v>
      </c>
      <c r="V9" t="s">
        <v>97</v>
      </c>
      <c r="W9" t="s">
        <v>98</v>
      </c>
      <c r="X9" t="s">
        <v>99</v>
      </c>
      <c r="Y9" t="s">
        <v>98</v>
      </c>
      <c r="Z9" t="s">
        <v>98</v>
      </c>
      <c r="AA9" t="s">
        <v>98</v>
      </c>
      <c r="AB9" t="s">
        <v>98</v>
      </c>
      <c r="AC9" t="s">
        <v>97</v>
      </c>
      <c r="AD9" t="s">
        <v>98</v>
      </c>
      <c r="AE9" t="s">
        <v>98</v>
      </c>
      <c r="AF9" t="s">
        <v>98</v>
      </c>
      <c r="AG9">
        <f t="shared" si="0"/>
        <v>24</v>
      </c>
      <c r="AH9">
        <f t="shared" si="1"/>
        <v>0</v>
      </c>
      <c r="AI9">
        <f t="shared" si="2"/>
        <v>2</v>
      </c>
      <c r="AJ9">
        <f t="shared" si="3"/>
        <v>4</v>
      </c>
      <c r="AK9">
        <f t="shared" si="4"/>
        <v>30</v>
      </c>
      <c r="AL9">
        <v>500</v>
      </c>
      <c r="AM9">
        <f t="shared" si="5"/>
        <v>15000</v>
      </c>
      <c r="AN9">
        <f t="shared" si="6"/>
        <v>1800</v>
      </c>
      <c r="AO9" s="4">
        <f t="shared" si="7"/>
        <v>13200</v>
      </c>
    </row>
    <row r="10" spans="1:41" x14ac:dyDescent="0.25">
      <c r="A10">
        <v>4</v>
      </c>
      <c r="B10" t="s">
        <v>29</v>
      </c>
      <c r="C10" t="s">
        <v>98</v>
      </c>
      <c r="D10" t="s">
        <v>98</v>
      </c>
      <c r="E10" t="s">
        <v>0</v>
      </c>
      <c r="F10" t="s">
        <v>98</v>
      </c>
      <c r="G10" t="s">
        <v>98</v>
      </c>
      <c r="H10" s="2" t="s">
        <v>97</v>
      </c>
      <c r="I10" t="s">
        <v>98</v>
      </c>
      <c r="J10" t="s">
        <v>98</v>
      </c>
      <c r="K10" t="s">
        <v>98</v>
      </c>
      <c r="L10" t="s">
        <v>98</v>
      </c>
      <c r="M10" t="s">
        <v>98</v>
      </c>
      <c r="N10" t="s">
        <v>98</v>
      </c>
      <c r="O10" t="s">
        <v>97</v>
      </c>
      <c r="P10" t="s">
        <v>98</v>
      </c>
      <c r="Q10" t="s">
        <v>0</v>
      </c>
      <c r="R10" t="s">
        <v>98</v>
      </c>
      <c r="S10" t="s">
        <v>98</v>
      </c>
      <c r="T10" t="s">
        <v>98</v>
      </c>
      <c r="U10" t="s">
        <v>98</v>
      </c>
      <c r="V10" t="s">
        <v>97</v>
      </c>
      <c r="W10" t="s">
        <v>0</v>
      </c>
      <c r="X10" t="s">
        <v>98</v>
      </c>
      <c r="Y10" t="s">
        <v>98</v>
      </c>
      <c r="Z10" t="s">
        <v>99</v>
      </c>
      <c r="AA10" t="s">
        <v>98</v>
      </c>
      <c r="AB10" t="s">
        <v>98</v>
      </c>
      <c r="AC10" t="s">
        <v>97</v>
      </c>
      <c r="AD10" t="s">
        <v>98</v>
      </c>
      <c r="AE10" t="s">
        <v>98</v>
      </c>
      <c r="AF10" t="s">
        <v>98</v>
      </c>
      <c r="AG10">
        <f t="shared" si="0"/>
        <v>22</v>
      </c>
      <c r="AH10">
        <f t="shared" si="1"/>
        <v>3</v>
      </c>
      <c r="AI10">
        <f t="shared" si="2"/>
        <v>1</v>
      </c>
      <c r="AJ10">
        <f t="shared" si="3"/>
        <v>4</v>
      </c>
      <c r="AK10">
        <f t="shared" si="4"/>
        <v>27</v>
      </c>
      <c r="AL10">
        <v>250</v>
      </c>
      <c r="AM10">
        <f t="shared" si="5"/>
        <v>6750</v>
      </c>
      <c r="AN10">
        <f t="shared" si="6"/>
        <v>810</v>
      </c>
      <c r="AO10" s="4">
        <f t="shared" si="7"/>
        <v>5940</v>
      </c>
    </row>
    <row r="11" spans="1:41" x14ac:dyDescent="0.25">
      <c r="A11">
        <v>5</v>
      </c>
      <c r="B11" t="s">
        <v>30</v>
      </c>
      <c r="C11" t="s">
        <v>98</v>
      </c>
      <c r="D11" t="s">
        <v>98</v>
      </c>
      <c r="E11" t="s">
        <v>98</v>
      </c>
      <c r="F11" t="s">
        <v>98</v>
      </c>
      <c r="G11" t="s">
        <v>98</v>
      </c>
      <c r="H11" s="2" t="s">
        <v>97</v>
      </c>
      <c r="I11" t="s">
        <v>98</v>
      </c>
      <c r="J11" t="s">
        <v>98</v>
      </c>
      <c r="K11" t="s">
        <v>98</v>
      </c>
      <c r="L11" t="s">
        <v>0</v>
      </c>
      <c r="M11" t="s">
        <v>98</v>
      </c>
      <c r="N11" t="s">
        <v>98</v>
      </c>
      <c r="O11" t="s">
        <v>97</v>
      </c>
      <c r="P11" t="s">
        <v>98</v>
      </c>
      <c r="Q11" t="s">
        <v>98</v>
      </c>
      <c r="R11" t="s">
        <v>98</v>
      </c>
      <c r="S11" t="s">
        <v>98</v>
      </c>
      <c r="T11" t="s">
        <v>98</v>
      </c>
      <c r="U11" t="s">
        <v>98</v>
      </c>
      <c r="V11" t="s">
        <v>97</v>
      </c>
      <c r="W11" t="s">
        <v>98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97</v>
      </c>
      <c r="AD11" t="s">
        <v>98</v>
      </c>
      <c r="AE11" t="s">
        <v>0</v>
      </c>
      <c r="AF11" t="s">
        <v>98</v>
      </c>
      <c r="AG11">
        <f t="shared" si="0"/>
        <v>24</v>
      </c>
      <c r="AH11">
        <f t="shared" si="1"/>
        <v>2</v>
      </c>
      <c r="AI11">
        <f t="shared" si="2"/>
        <v>0</v>
      </c>
      <c r="AJ11">
        <f t="shared" si="3"/>
        <v>4</v>
      </c>
      <c r="AK11">
        <f t="shared" si="4"/>
        <v>28</v>
      </c>
      <c r="AL11">
        <v>246</v>
      </c>
      <c r="AM11">
        <f t="shared" si="5"/>
        <v>6888</v>
      </c>
      <c r="AN11">
        <f t="shared" si="6"/>
        <v>826.56</v>
      </c>
      <c r="AO11" s="4">
        <f t="shared" si="7"/>
        <v>6061.4400000000005</v>
      </c>
    </row>
    <row r="12" spans="1:41" x14ac:dyDescent="0.25">
      <c r="A12">
        <v>6</v>
      </c>
      <c r="B12" t="s">
        <v>31</v>
      </c>
      <c r="C12" t="s">
        <v>98</v>
      </c>
      <c r="D12" t="s">
        <v>98</v>
      </c>
      <c r="E12" t="s">
        <v>98</v>
      </c>
      <c r="F12" t="s">
        <v>98</v>
      </c>
      <c r="G12" t="s">
        <v>98</v>
      </c>
      <c r="H12" s="2" t="s">
        <v>97</v>
      </c>
      <c r="I12" t="s">
        <v>98</v>
      </c>
      <c r="J12" t="s">
        <v>98</v>
      </c>
      <c r="K12" t="s">
        <v>98</v>
      </c>
      <c r="L12" t="s">
        <v>98</v>
      </c>
      <c r="M12" t="s">
        <v>98</v>
      </c>
      <c r="N12" t="s">
        <v>98</v>
      </c>
      <c r="O12" t="s">
        <v>97</v>
      </c>
      <c r="P12" t="s">
        <v>98</v>
      </c>
      <c r="Q12" t="s">
        <v>98</v>
      </c>
      <c r="R12" t="s">
        <v>99</v>
      </c>
      <c r="S12" t="s">
        <v>98</v>
      </c>
      <c r="T12" t="s">
        <v>98</v>
      </c>
      <c r="U12" t="s">
        <v>98</v>
      </c>
      <c r="V12" t="s">
        <v>97</v>
      </c>
      <c r="W12" t="s">
        <v>98</v>
      </c>
      <c r="X12" t="s">
        <v>98</v>
      </c>
      <c r="Y12" t="s">
        <v>98</v>
      </c>
      <c r="Z12" t="s">
        <v>98</v>
      </c>
      <c r="AA12" t="s">
        <v>98</v>
      </c>
      <c r="AB12" t="s">
        <v>99</v>
      </c>
      <c r="AC12" t="s">
        <v>97</v>
      </c>
      <c r="AD12" t="s">
        <v>98</v>
      </c>
      <c r="AE12" t="s">
        <v>98</v>
      </c>
      <c r="AF12" t="s">
        <v>98</v>
      </c>
      <c r="AG12">
        <f t="shared" si="0"/>
        <v>24</v>
      </c>
      <c r="AH12">
        <f t="shared" si="1"/>
        <v>0</v>
      </c>
      <c r="AI12">
        <f t="shared" si="2"/>
        <v>2</v>
      </c>
      <c r="AJ12">
        <f t="shared" si="3"/>
        <v>4</v>
      </c>
      <c r="AK12">
        <f t="shared" si="4"/>
        <v>30</v>
      </c>
      <c r="AL12">
        <v>276</v>
      </c>
      <c r="AM12">
        <f t="shared" si="5"/>
        <v>8280</v>
      </c>
      <c r="AN12">
        <f t="shared" si="6"/>
        <v>993.59999999999991</v>
      </c>
      <c r="AO12" s="4">
        <f t="shared" si="7"/>
        <v>7286.4</v>
      </c>
    </row>
    <row r="13" spans="1:41" x14ac:dyDescent="0.25">
      <c r="A13">
        <v>7</v>
      </c>
      <c r="B13" t="s">
        <v>32</v>
      </c>
      <c r="C13" t="s">
        <v>98</v>
      </c>
      <c r="D13" t="s">
        <v>98</v>
      </c>
      <c r="E13" t="s">
        <v>0</v>
      </c>
      <c r="F13" t="s">
        <v>98</v>
      </c>
      <c r="G13" t="s">
        <v>98</v>
      </c>
      <c r="H13" s="2" t="s">
        <v>97</v>
      </c>
      <c r="I13" t="s">
        <v>98</v>
      </c>
      <c r="J13" t="s">
        <v>98</v>
      </c>
      <c r="K13" t="s">
        <v>98</v>
      </c>
      <c r="L13" t="s">
        <v>98</v>
      </c>
      <c r="M13" t="s">
        <v>98</v>
      </c>
      <c r="N13" t="s">
        <v>98</v>
      </c>
      <c r="O13" t="s">
        <v>97</v>
      </c>
      <c r="P13" t="s">
        <v>98</v>
      </c>
      <c r="Q13" t="s">
        <v>98</v>
      </c>
      <c r="R13" t="s">
        <v>98</v>
      </c>
      <c r="S13" t="s">
        <v>99</v>
      </c>
      <c r="T13" t="s">
        <v>98</v>
      </c>
      <c r="U13" t="s">
        <v>0</v>
      </c>
      <c r="V13" t="s">
        <v>97</v>
      </c>
      <c r="W13" t="s">
        <v>98</v>
      </c>
      <c r="X13" t="s">
        <v>98</v>
      </c>
      <c r="Y13" t="s">
        <v>98</v>
      </c>
      <c r="Z13" t="s">
        <v>98</v>
      </c>
      <c r="AA13" t="s">
        <v>98</v>
      </c>
      <c r="AB13" t="s">
        <v>98</v>
      </c>
      <c r="AC13" t="s">
        <v>97</v>
      </c>
      <c r="AD13" t="s">
        <v>98</v>
      </c>
      <c r="AE13" t="s">
        <v>98</v>
      </c>
      <c r="AF13" t="s">
        <v>98</v>
      </c>
      <c r="AG13">
        <f t="shared" si="0"/>
        <v>23</v>
      </c>
      <c r="AH13">
        <f t="shared" si="1"/>
        <v>2</v>
      </c>
      <c r="AI13">
        <f t="shared" si="2"/>
        <v>1</v>
      </c>
      <c r="AJ13">
        <f t="shared" si="3"/>
        <v>4</v>
      </c>
      <c r="AK13">
        <f t="shared" si="4"/>
        <v>28</v>
      </c>
      <c r="AL13">
        <v>359</v>
      </c>
      <c r="AM13">
        <f t="shared" si="5"/>
        <v>10052</v>
      </c>
      <c r="AN13">
        <f t="shared" si="6"/>
        <v>1206.24</v>
      </c>
      <c r="AO13" s="4">
        <f t="shared" si="7"/>
        <v>8845.76</v>
      </c>
    </row>
    <row r="14" spans="1:41" x14ac:dyDescent="0.25">
      <c r="A14">
        <v>8</v>
      </c>
      <c r="B14" t="s">
        <v>33</v>
      </c>
      <c r="C14" t="s">
        <v>98</v>
      </c>
      <c r="D14" t="s">
        <v>98</v>
      </c>
      <c r="E14" t="s">
        <v>98</v>
      </c>
      <c r="F14" t="s">
        <v>98</v>
      </c>
      <c r="G14" t="s">
        <v>98</v>
      </c>
      <c r="H14" s="2" t="s">
        <v>97</v>
      </c>
      <c r="I14" t="s">
        <v>98</v>
      </c>
      <c r="J14" t="s">
        <v>98</v>
      </c>
      <c r="K14" t="s">
        <v>98</v>
      </c>
      <c r="L14" t="s">
        <v>98</v>
      </c>
      <c r="M14" t="s">
        <v>98</v>
      </c>
      <c r="N14" t="s">
        <v>98</v>
      </c>
      <c r="O14" t="s">
        <v>97</v>
      </c>
      <c r="P14" t="s">
        <v>98</v>
      </c>
      <c r="Q14" t="s">
        <v>98</v>
      </c>
      <c r="R14" t="s">
        <v>98</v>
      </c>
      <c r="S14" t="s">
        <v>98</v>
      </c>
      <c r="T14" t="s">
        <v>98</v>
      </c>
      <c r="U14" t="s">
        <v>98</v>
      </c>
      <c r="V14" t="s">
        <v>97</v>
      </c>
      <c r="W14" t="s">
        <v>98</v>
      </c>
      <c r="X14" t="s">
        <v>98</v>
      </c>
      <c r="Y14" t="s">
        <v>98</v>
      </c>
      <c r="Z14" t="s">
        <v>98</v>
      </c>
      <c r="AA14" t="s">
        <v>98</v>
      </c>
      <c r="AB14" t="s">
        <v>98</v>
      </c>
      <c r="AC14" t="s">
        <v>97</v>
      </c>
      <c r="AD14" t="s">
        <v>98</v>
      </c>
      <c r="AE14" t="s">
        <v>98</v>
      </c>
      <c r="AF14" t="s">
        <v>98</v>
      </c>
      <c r="AG14">
        <f t="shared" si="0"/>
        <v>26</v>
      </c>
      <c r="AH14">
        <f t="shared" si="1"/>
        <v>0</v>
      </c>
      <c r="AI14">
        <f t="shared" si="2"/>
        <v>0</v>
      </c>
      <c r="AJ14">
        <f t="shared" si="3"/>
        <v>4</v>
      </c>
      <c r="AK14">
        <f t="shared" si="4"/>
        <v>30</v>
      </c>
      <c r="AL14">
        <v>1500</v>
      </c>
      <c r="AM14">
        <f t="shared" si="5"/>
        <v>45000</v>
      </c>
      <c r="AN14">
        <f t="shared" si="6"/>
        <v>5400</v>
      </c>
      <c r="AO14" s="4">
        <f t="shared" si="7"/>
        <v>39600</v>
      </c>
    </row>
    <row r="15" spans="1:41" x14ac:dyDescent="0.25">
      <c r="A15">
        <v>9</v>
      </c>
      <c r="B15" t="s">
        <v>34</v>
      </c>
      <c r="C15" t="s">
        <v>98</v>
      </c>
      <c r="D15" t="s">
        <v>98</v>
      </c>
      <c r="E15" t="s">
        <v>98</v>
      </c>
      <c r="F15" t="s">
        <v>98</v>
      </c>
      <c r="G15" t="s">
        <v>98</v>
      </c>
      <c r="H15" s="2" t="s">
        <v>97</v>
      </c>
      <c r="I15" t="s">
        <v>98</v>
      </c>
      <c r="J15" t="s">
        <v>98</v>
      </c>
      <c r="K15" t="s">
        <v>0</v>
      </c>
      <c r="L15" t="s">
        <v>98</v>
      </c>
      <c r="M15" t="s">
        <v>98</v>
      </c>
      <c r="N15" t="s">
        <v>98</v>
      </c>
      <c r="O15" t="s">
        <v>97</v>
      </c>
      <c r="P15" t="s">
        <v>98</v>
      </c>
      <c r="Q15" t="s">
        <v>98</v>
      </c>
      <c r="R15" t="s">
        <v>98</v>
      </c>
      <c r="S15" t="s">
        <v>98</v>
      </c>
      <c r="T15" t="s">
        <v>98</v>
      </c>
      <c r="U15" t="s">
        <v>98</v>
      </c>
      <c r="V15" t="s">
        <v>97</v>
      </c>
      <c r="W15" t="s">
        <v>98</v>
      </c>
      <c r="X15" t="s">
        <v>98</v>
      </c>
      <c r="Y15" t="s">
        <v>98</v>
      </c>
      <c r="Z15" t="s">
        <v>98</v>
      </c>
      <c r="AA15" t="s">
        <v>98</v>
      </c>
      <c r="AB15" t="s">
        <v>98</v>
      </c>
      <c r="AC15" t="s">
        <v>97</v>
      </c>
      <c r="AD15" t="s">
        <v>98</v>
      </c>
      <c r="AE15" t="s">
        <v>98</v>
      </c>
      <c r="AF15" t="s">
        <v>0</v>
      </c>
      <c r="AG15">
        <f t="shared" si="0"/>
        <v>24</v>
      </c>
      <c r="AH15">
        <f t="shared" si="1"/>
        <v>2</v>
      </c>
      <c r="AI15">
        <f t="shared" si="2"/>
        <v>0</v>
      </c>
      <c r="AJ15">
        <f t="shared" si="3"/>
        <v>4</v>
      </c>
      <c r="AK15">
        <f t="shared" si="4"/>
        <v>28</v>
      </c>
      <c r="AL15">
        <v>350</v>
      </c>
      <c r="AM15">
        <f t="shared" si="5"/>
        <v>9800</v>
      </c>
      <c r="AN15">
        <f t="shared" si="6"/>
        <v>1176</v>
      </c>
      <c r="AO15" s="4">
        <f t="shared" si="7"/>
        <v>8624</v>
      </c>
    </row>
    <row r="16" spans="1:41" x14ac:dyDescent="0.25">
      <c r="A16">
        <v>10</v>
      </c>
      <c r="B16" t="s">
        <v>35</v>
      </c>
      <c r="C16" t="s">
        <v>98</v>
      </c>
      <c r="D16" t="s">
        <v>99</v>
      </c>
      <c r="E16" t="s">
        <v>98</v>
      </c>
      <c r="F16" t="s">
        <v>98</v>
      </c>
      <c r="G16" t="s">
        <v>0</v>
      </c>
      <c r="H16" s="2" t="s">
        <v>97</v>
      </c>
      <c r="I16" t="s">
        <v>98</v>
      </c>
      <c r="J16" t="s">
        <v>98</v>
      </c>
      <c r="K16" t="s">
        <v>98</v>
      </c>
      <c r="L16" t="s">
        <v>98</v>
      </c>
      <c r="M16" t="s">
        <v>98</v>
      </c>
      <c r="N16" t="s">
        <v>98</v>
      </c>
      <c r="O16" t="s">
        <v>97</v>
      </c>
      <c r="P16" t="s">
        <v>98</v>
      </c>
      <c r="Q16" t="s">
        <v>99</v>
      </c>
      <c r="R16" t="s">
        <v>98</v>
      </c>
      <c r="S16" t="s">
        <v>98</v>
      </c>
      <c r="T16" t="s">
        <v>98</v>
      </c>
      <c r="U16" t="s">
        <v>98</v>
      </c>
      <c r="V16" t="s">
        <v>97</v>
      </c>
      <c r="W16" t="s">
        <v>98</v>
      </c>
      <c r="X16" t="s">
        <v>98</v>
      </c>
      <c r="Y16" t="s">
        <v>98</v>
      </c>
      <c r="Z16" t="s">
        <v>0</v>
      </c>
      <c r="AA16" t="s">
        <v>98</v>
      </c>
      <c r="AB16" t="s">
        <v>98</v>
      </c>
      <c r="AC16" t="s">
        <v>97</v>
      </c>
      <c r="AD16" t="s">
        <v>98</v>
      </c>
      <c r="AE16" t="s">
        <v>98</v>
      </c>
      <c r="AF16" t="s">
        <v>98</v>
      </c>
      <c r="AG16">
        <f t="shared" si="0"/>
        <v>22</v>
      </c>
      <c r="AH16">
        <f t="shared" si="1"/>
        <v>2</v>
      </c>
      <c r="AI16">
        <f t="shared" si="2"/>
        <v>2</v>
      </c>
      <c r="AJ16">
        <f t="shared" si="3"/>
        <v>4</v>
      </c>
      <c r="AK16">
        <f t="shared" si="4"/>
        <v>28</v>
      </c>
      <c r="AL16">
        <v>60</v>
      </c>
      <c r="AM16">
        <f t="shared" si="5"/>
        <v>1680</v>
      </c>
      <c r="AN16">
        <f t="shared" si="6"/>
        <v>201.6</v>
      </c>
      <c r="AO16" s="4">
        <f t="shared" si="7"/>
        <v>1478.4</v>
      </c>
    </row>
    <row r="17" spans="1:41" x14ac:dyDescent="0.25">
      <c r="A17">
        <v>11</v>
      </c>
      <c r="B17" t="s">
        <v>36</v>
      </c>
      <c r="C17" t="s">
        <v>98</v>
      </c>
      <c r="D17" t="s">
        <v>98</v>
      </c>
      <c r="E17" t="s">
        <v>98</v>
      </c>
      <c r="F17" t="s">
        <v>98</v>
      </c>
      <c r="G17" t="s">
        <v>98</v>
      </c>
      <c r="H17" s="2" t="s">
        <v>97</v>
      </c>
      <c r="I17" t="s">
        <v>98</v>
      </c>
      <c r="J17" t="s">
        <v>98</v>
      </c>
      <c r="K17" t="s">
        <v>98</v>
      </c>
      <c r="L17" t="s">
        <v>98</v>
      </c>
      <c r="M17" t="s">
        <v>98</v>
      </c>
      <c r="N17" t="s">
        <v>0</v>
      </c>
      <c r="O17" t="s">
        <v>97</v>
      </c>
      <c r="P17" t="s">
        <v>98</v>
      </c>
      <c r="Q17" t="s">
        <v>98</v>
      </c>
      <c r="R17" t="s">
        <v>98</v>
      </c>
      <c r="S17" t="s">
        <v>98</v>
      </c>
      <c r="T17" t="s">
        <v>0</v>
      </c>
      <c r="U17" t="s">
        <v>98</v>
      </c>
      <c r="V17" t="s">
        <v>97</v>
      </c>
      <c r="W17" t="s">
        <v>98</v>
      </c>
      <c r="X17" t="s">
        <v>0</v>
      </c>
      <c r="Y17" t="s">
        <v>98</v>
      </c>
      <c r="Z17" t="s">
        <v>98</v>
      </c>
      <c r="AA17" t="s">
        <v>98</v>
      </c>
      <c r="AB17" t="s">
        <v>98</v>
      </c>
      <c r="AC17" t="s">
        <v>97</v>
      </c>
      <c r="AD17" t="s">
        <v>98</v>
      </c>
      <c r="AE17" t="s">
        <v>98</v>
      </c>
      <c r="AF17" t="s">
        <v>98</v>
      </c>
      <c r="AG17">
        <f t="shared" si="0"/>
        <v>23</v>
      </c>
      <c r="AH17">
        <f t="shared" si="1"/>
        <v>3</v>
      </c>
      <c r="AI17">
        <f t="shared" si="2"/>
        <v>0</v>
      </c>
      <c r="AJ17">
        <f t="shared" si="3"/>
        <v>4</v>
      </c>
      <c r="AK17">
        <f t="shared" si="4"/>
        <v>27</v>
      </c>
      <c r="AL17">
        <v>600</v>
      </c>
      <c r="AM17">
        <f t="shared" si="5"/>
        <v>16200</v>
      </c>
      <c r="AN17">
        <f t="shared" si="6"/>
        <v>1944</v>
      </c>
      <c r="AO17" s="4">
        <f t="shared" si="7"/>
        <v>14256</v>
      </c>
    </row>
    <row r="18" spans="1:41" x14ac:dyDescent="0.25">
      <c r="A18">
        <v>12</v>
      </c>
      <c r="B18" t="s">
        <v>37</v>
      </c>
      <c r="C18" t="s">
        <v>98</v>
      </c>
      <c r="D18" t="s">
        <v>98</v>
      </c>
      <c r="E18" t="s">
        <v>98</v>
      </c>
      <c r="F18" t="s">
        <v>98</v>
      </c>
      <c r="G18" t="s">
        <v>98</v>
      </c>
      <c r="H18" s="2" t="s">
        <v>97</v>
      </c>
      <c r="I18" t="s">
        <v>98</v>
      </c>
      <c r="J18" t="s">
        <v>98</v>
      </c>
      <c r="K18" t="s">
        <v>98</v>
      </c>
      <c r="L18" t="s">
        <v>98</v>
      </c>
      <c r="M18" t="s">
        <v>98</v>
      </c>
      <c r="N18" t="s">
        <v>98</v>
      </c>
      <c r="O18" t="s">
        <v>97</v>
      </c>
      <c r="P18" t="s">
        <v>98</v>
      </c>
      <c r="Q18" t="s">
        <v>98</v>
      </c>
      <c r="R18" t="s">
        <v>0</v>
      </c>
      <c r="S18" t="s">
        <v>98</v>
      </c>
      <c r="T18" t="s">
        <v>98</v>
      </c>
      <c r="U18" t="s">
        <v>98</v>
      </c>
      <c r="V18" t="s">
        <v>97</v>
      </c>
      <c r="W18" t="s">
        <v>98</v>
      </c>
      <c r="X18" t="s">
        <v>98</v>
      </c>
      <c r="Y18" t="s">
        <v>0</v>
      </c>
      <c r="Z18" t="s">
        <v>98</v>
      </c>
      <c r="AA18" t="s">
        <v>98</v>
      </c>
      <c r="AB18" t="s">
        <v>98</v>
      </c>
      <c r="AC18" t="s">
        <v>97</v>
      </c>
      <c r="AD18" t="s">
        <v>98</v>
      </c>
      <c r="AE18" t="s">
        <v>99</v>
      </c>
      <c r="AF18" t="s">
        <v>98</v>
      </c>
      <c r="AG18">
        <f t="shared" si="0"/>
        <v>23</v>
      </c>
      <c r="AH18">
        <f t="shared" si="1"/>
        <v>2</v>
      </c>
      <c r="AI18">
        <f t="shared" si="2"/>
        <v>1</v>
      </c>
      <c r="AJ18">
        <f t="shared" si="3"/>
        <v>4</v>
      </c>
      <c r="AK18">
        <f t="shared" si="4"/>
        <v>28</v>
      </c>
      <c r="AL18">
        <v>958</v>
      </c>
      <c r="AM18">
        <f t="shared" si="5"/>
        <v>26824</v>
      </c>
      <c r="AN18">
        <f t="shared" si="6"/>
        <v>3218.8799999999997</v>
      </c>
      <c r="AO18" s="4">
        <f t="shared" si="7"/>
        <v>23605.119999999999</v>
      </c>
    </row>
    <row r="19" spans="1:41" x14ac:dyDescent="0.25">
      <c r="A19">
        <v>13</v>
      </c>
      <c r="B19" t="s">
        <v>38</v>
      </c>
      <c r="C19" t="s">
        <v>98</v>
      </c>
      <c r="D19" t="s">
        <v>98</v>
      </c>
      <c r="E19" t="s">
        <v>98</v>
      </c>
      <c r="F19" t="s">
        <v>98</v>
      </c>
      <c r="G19" t="s">
        <v>98</v>
      </c>
      <c r="H19" s="2" t="s">
        <v>97</v>
      </c>
      <c r="I19" t="s">
        <v>98</v>
      </c>
      <c r="J19" t="s">
        <v>0</v>
      </c>
      <c r="K19" t="s">
        <v>98</v>
      </c>
      <c r="L19" t="s">
        <v>98</v>
      </c>
      <c r="M19" t="s">
        <v>98</v>
      </c>
      <c r="N19" t="s">
        <v>98</v>
      </c>
      <c r="O19" t="s">
        <v>97</v>
      </c>
      <c r="P19" t="s">
        <v>98</v>
      </c>
      <c r="Q19" t="s">
        <v>98</v>
      </c>
      <c r="R19" t="s">
        <v>98</v>
      </c>
      <c r="S19" t="s">
        <v>98</v>
      </c>
      <c r="T19" t="s">
        <v>98</v>
      </c>
      <c r="U19" t="s">
        <v>98</v>
      </c>
      <c r="V19" t="s">
        <v>97</v>
      </c>
      <c r="W19" t="s">
        <v>98</v>
      </c>
      <c r="X19" t="s">
        <v>98</v>
      </c>
      <c r="Y19" t="s">
        <v>98</v>
      </c>
      <c r="Z19" t="s">
        <v>98</v>
      </c>
      <c r="AA19" t="s">
        <v>98</v>
      </c>
      <c r="AB19" t="s">
        <v>98</v>
      </c>
      <c r="AC19" t="s">
        <v>97</v>
      </c>
      <c r="AD19" t="s">
        <v>98</v>
      </c>
      <c r="AE19" t="s">
        <v>98</v>
      </c>
      <c r="AF19" t="s">
        <v>98</v>
      </c>
      <c r="AG19">
        <f t="shared" si="0"/>
        <v>25</v>
      </c>
      <c r="AH19">
        <f t="shared" si="1"/>
        <v>1</v>
      </c>
      <c r="AI19">
        <f t="shared" si="2"/>
        <v>0</v>
      </c>
      <c r="AJ19">
        <f t="shared" si="3"/>
        <v>4</v>
      </c>
      <c r="AK19">
        <f t="shared" si="4"/>
        <v>29</v>
      </c>
      <c r="AL19">
        <v>147</v>
      </c>
      <c r="AM19">
        <f t="shared" si="5"/>
        <v>4263</v>
      </c>
      <c r="AN19">
        <f t="shared" si="6"/>
        <v>511.56</v>
      </c>
      <c r="AO19" s="4">
        <f t="shared" si="7"/>
        <v>3751.44</v>
      </c>
    </row>
    <row r="20" spans="1:41" x14ac:dyDescent="0.25">
      <c r="A20">
        <v>14</v>
      </c>
      <c r="B20" t="s">
        <v>39</v>
      </c>
      <c r="C20" t="s">
        <v>98</v>
      </c>
      <c r="D20" t="s">
        <v>98</v>
      </c>
      <c r="E20" t="s">
        <v>98</v>
      </c>
      <c r="F20" t="s">
        <v>98</v>
      </c>
      <c r="G20" t="s">
        <v>98</v>
      </c>
      <c r="H20" s="2" t="s">
        <v>97</v>
      </c>
      <c r="I20" t="s">
        <v>98</v>
      </c>
      <c r="J20" t="s">
        <v>98</v>
      </c>
      <c r="K20" t="s">
        <v>98</v>
      </c>
      <c r="L20" t="s">
        <v>98</v>
      </c>
      <c r="M20" t="s">
        <v>98</v>
      </c>
      <c r="N20" t="s">
        <v>98</v>
      </c>
      <c r="O20" t="s">
        <v>97</v>
      </c>
      <c r="P20" t="s">
        <v>98</v>
      </c>
      <c r="Q20" t="s">
        <v>98</v>
      </c>
      <c r="R20" t="s">
        <v>98</v>
      </c>
      <c r="S20" t="s">
        <v>98</v>
      </c>
      <c r="T20" t="s">
        <v>98</v>
      </c>
      <c r="U20" t="s">
        <v>98</v>
      </c>
      <c r="V20" t="s">
        <v>97</v>
      </c>
      <c r="W20" t="s">
        <v>98</v>
      </c>
      <c r="X20" t="s">
        <v>98</v>
      </c>
      <c r="Y20" t="s">
        <v>98</v>
      </c>
      <c r="Z20" t="s">
        <v>98</v>
      </c>
      <c r="AA20" t="s">
        <v>99</v>
      </c>
      <c r="AB20" t="s">
        <v>98</v>
      </c>
      <c r="AC20" t="s">
        <v>97</v>
      </c>
      <c r="AD20" t="s">
        <v>98</v>
      </c>
      <c r="AE20" t="s">
        <v>98</v>
      </c>
      <c r="AF20" t="s">
        <v>99</v>
      </c>
      <c r="AG20">
        <f t="shared" si="0"/>
        <v>24</v>
      </c>
      <c r="AH20">
        <f t="shared" si="1"/>
        <v>0</v>
      </c>
      <c r="AI20">
        <f t="shared" si="2"/>
        <v>2</v>
      </c>
      <c r="AJ20">
        <f t="shared" si="3"/>
        <v>4</v>
      </c>
      <c r="AK20">
        <f t="shared" si="4"/>
        <v>30</v>
      </c>
      <c r="AL20">
        <v>357</v>
      </c>
      <c r="AM20">
        <f t="shared" si="5"/>
        <v>10710</v>
      </c>
      <c r="AN20">
        <f t="shared" si="6"/>
        <v>1285.2</v>
      </c>
      <c r="AO20" s="4">
        <f t="shared" si="7"/>
        <v>9424.7999999999993</v>
      </c>
    </row>
    <row r="21" spans="1:41" x14ac:dyDescent="0.25">
      <c r="A21">
        <v>15</v>
      </c>
      <c r="B21" t="s">
        <v>40</v>
      </c>
      <c r="C21" t="s">
        <v>98</v>
      </c>
      <c r="D21" t="s">
        <v>99</v>
      </c>
      <c r="E21" t="s">
        <v>98</v>
      </c>
      <c r="F21" t="s">
        <v>98</v>
      </c>
      <c r="G21" t="s">
        <v>98</v>
      </c>
      <c r="H21" s="2" t="s">
        <v>97</v>
      </c>
      <c r="I21" t="s">
        <v>98</v>
      </c>
      <c r="J21" t="s">
        <v>98</v>
      </c>
      <c r="K21" t="s">
        <v>98</v>
      </c>
      <c r="L21" t="s">
        <v>0</v>
      </c>
      <c r="M21" t="s">
        <v>98</v>
      </c>
      <c r="N21" t="s">
        <v>98</v>
      </c>
      <c r="O21" t="s">
        <v>97</v>
      </c>
      <c r="P21" t="s">
        <v>98</v>
      </c>
      <c r="Q21" t="s">
        <v>98</v>
      </c>
      <c r="R21" t="s">
        <v>98</v>
      </c>
      <c r="S21" t="s">
        <v>98</v>
      </c>
      <c r="T21" t="s">
        <v>98</v>
      </c>
      <c r="U21" t="s">
        <v>98</v>
      </c>
      <c r="V21" t="s">
        <v>97</v>
      </c>
      <c r="W21" t="s">
        <v>98</v>
      </c>
      <c r="X21" t="s">
        <v>98</v>
      </c>
      <c r="Y21" t="s">
        <v>98</v>
      </c>
      <c r="Z21" t="s">
        <v>98</v>
      </c>
      <c r="AA21" t="s">
        <v>98</v>
      </c>
      <c r="AB21" t="s">
        <v>98</v>
      </c>
      <c r="AC21" t="s">
        <v>97</v>
      </c>
      <c r="AD21" t="s">
        <v>98</v>
      </c>
      <c r="AE21" t="s">
        <v>98</v>
      </c>
      <c r="AF21" t="s">
        <v>98</v>
      </c>
      <c r="AG21">
        <f t="shared" si="0"/>
        <v>24</v>
      </c>
      <c r="AH21">
        <f t="shared" si="1"/>
        <v>1</v>
      </c>
      <c r="AI21">
        <f t="shared" si="2"/>
        <v>1</v>
      </c>
      <c r="AJ21">
        <f t="shared" si="3"/>
        <v>4</v>
      </c>
      <c r="AK21">
        <f t="shared" si="4"/>
        <v>29</v>
      </c>
      <c r="AL21">
        <v>621</v>
      </c>
      <c r="AM21">
        <f t="shared" si="5"/>
        <v>18009</v>
      </c>
      <c r="AN21">
        <f t="shared" si="6"/>
        <v>2161.08</v>
      </c>
      <c r="AO21" s="4">
        <f t="shared" si="7"/>
        <v>15847.92</v>
      </c>
    </row>
    <row r="22" spans="1:41" x14ac:dyDescent="0.25">
      <c r="A22">
        <v>16</v>
      </c>
      <c r="B22" t="s">
        <v>41</v>
      </c>
      <c r="C22" t="s">
        <v>98</v>
      </c>
      <c r="D22" t="s">
        <v>98</v>
      </c>
      <c r="E22" t="s">
        <v>98</v>
      </c>
      <c r="F22" t="s">
        <v>98</v>
      </c>
      <c r="G22" t="s">
        <v>99</v>
      </c>
      <c r="H22" s="2" t="s">
        <v>97</v>
      </c>
      <c r="I22" t="s">
        <v>98</v>
      </c>
      <c r="J22" t="s">
        <v>98</v>
      </c>
      <c r="K22" t="s">
        <v>98</v>
      </c>
      <c r="L22" t="s">
        <v>98</v>
      </c>
      <c r="M22" t="s">
        <v>98</v>
      </c>
      <c r="N22" t="s">
        <v>98</v>
      </c>
      <c r="O22" t="s">
        <v>97</v>
      </c>
      <c r="P22" t="s">
        <v>98</v>
      </c>
      <c r="Q22" t="s">
        <v>98</v>
      </c>
      <c r="R22" t="s">
        <v>98</v>
      </c>
      <c r="S22" t="s">
        <v>0</v>
      </c>
      <c r="T22" t="s">
        <v>98</v>
      </c>
      <c r="U22" t="s">
        <v>99</v>
      </c>
      <c r="V22" t="s">
        <v>97</v>
      </c>
      <c r="W22" t="s">
        <v>98</v>
      </c>
      <c r="X22" t="s">
        <v>98</v>
      </c>
      <c r="Y22" t="s">
        <v>98</v>
      </c>
      <c r="Z22" t="s">
        <v>98</v>
      </c>
      <c r="AA22" t="s">
        <v>98</v>
      </c>
      <c r="AB22" t="s">
        <v>0</v>
      </c>
      <c r="AC22" t="s">
        <v>97</v>
      </c>
      <c r="AD22" t="s">
        <v>98</v>
      </c>
      <c r="AE22" t="s">
        <v>98</v>
      </c>
      <c r="AF22" t="s">
        <v>98</v>
      </c>
      <c r="AG22">
        <f t="shared" si="0"/>
        <v>22</v>
      </c>
      <c r="AH22">
        <f t="shared" si="1"/>
        <v>2</v>
      </c>
      <c r="AI22">
        <f t="shared" si="2"/>
        <v>2</v>
      </c>
      <c r="AJ22">
        <f t="shared" si="3"/>
        <v>4</v>
      </c>
      <c r="AK22">
        <f t="shared" si="4"/>
        <v>28</v>
      </c>
      <c r="AL22">
        <v>165</v>
      </c>
      <c r="AM22">
        <f t="shared" si="5"/>
        <v>4620</v>
      </c>
      <c r="AN22">
        <f t="shared" si="6"/>
        <v>554.4</v>
      </c>
      <c r="AO22" s="4">
        <f t="shared" si="7"/>
        <v>4065.6</v>
      </c>
    </row>
    <row r="23" spans="1:41" x14ac:dyDescent="0.25">
      <c r="A23">
        <v>17</v>
      </c>
      <c r="B23" t="s">
        <v>42</v>
      </c>
      <c r="C23" t="s">
        <v>98</v>
      </c>
      <c r="D23" t="s">
        <v>98</v>
      </c>
      <c r="E23" t="s">
        <v>98</v>
      </c>
      <c r="F23" t="s">
        <v>98</v>
      </c>
      <c r="G23" t="s">
        <v>98</v>
      </c>
      <c r="H23" s="2" t="s">
        <v>97</v>
      </c>
      <c r="I23" t="s">
        <v>98</v>
      </c>
      <c r="J23" t="s">
        <v>98</v>
      </c>
      <c r="K23" t="s">
        <v>98</v>
      </c>
      <c r="L23" t="s">
        <v>98</v>
      </c>
      <c r="M23" t="s">
        <v>98</v>
      </c>
      <c r="N23" t="s">
        <v>98</v>
      </c>
      <c r="O23" t="s">
        <v>97</v>
      </c>
      <c r="P23" t="s">
        <v>98</v>
      </c>
      <c r="Q23" t="s">
        <v>98</v>
      </c>
      <c r="R23" t="s">
        <v>0</v>
      </c>
      <c r="S23" t="s">
        <v>98</v>
      </c>
      <c r="T23" t="s">
        <v>98</v>
      </c>
      <c r="U23" t="s">
        <v>98</v>
      </c>
      <c r="V23" t="s">
        <v>97</v>
      </c>
      <c r="W23" t="s">
        <v>99</v>
      </c>
      <c r="X23" t="s">
        <v>98</v>
      </c>
      <c r="Y23" t="s">
        <v>98</v>
      </c>
      <c r="Z23" t="s">
        <v>98</v>
      </c>
      <c r="AA23" t="s">
        <v>98</v>
      </c>
      <c r="AB23" t="s">
        <v>98</v>
      </c>
      <c r="AC23" t="s">
        <v>97</v>
      </c>
      <c r="AD23" t="s">
        <v>98</v>
      </c>
      <c r="AE23" t="s">
        <v>98</v>
      </c>
      <c r="AF23" t="s">
        <v>98</v>
      </c>
      <c r="AG23">
        <f t="shared" si="0"/>
        <v>24</v>
      </c>
      <c r="AH23">
        <f t="shared" si="1"/>
        <v>1</v>
      </c>
      <c r="AI23">
        <f t="shared" si="2"/>
        <v>1</v>
      </c>
      <c r="AJ23">
        <f t="shared" si="3"/>
        <v>4</v>
      </c>
      <c r="AK23">
        <f t="shared" si="4"/>
        <v>29</v>
      </c>
      <c r="AL23">
        <v>189</v>
      </c>
      <c r="AM23">
        <f t="shared" si="5"/>
        <v>5481</v>
      </c>
      <c r="AN23">
        <f t="shared" si="6"/>
        <v>657.72</v>
      </c>
      <c r="AO23" s="4">
        <f t="shared" si="7"/>
        <v>4823.28</v>
      </c>
    </row>
    <row r="24" spans="1:41" x14ac:dyDescent="0.25">
      <c r="A24">
        <v>18</v>
      </c>
      <c r="B24" t="s">
        <v>43</v>
      </c>
      <c r="C24" t="s">
        <v>98</v>
      </c>
      <c r="D24" t="s">
        <v>98</v>
      </c>
      <c r="E24" t="s">
        <v>98</v>
      </c>
      <c r="F24" t="s">
        <v>98</v>
      </c>
      <c r="G24" t="s">
        <v>98</v>
      </c>
      <c r="H24" s="2" t="s">
        <v>97</v>
      </c>
      <c r="I24" t="s">
        <v>98</v>
      </c>
      <c r="J24" t="s">
        <v>98</v>
      </c>
      <c r="K24" t="s">
        <v>98</v>
      </c>
      <c r="L24" t="s">
        <v>99</v>
      </c>
      <c r="M24" t="s">
        <v>98</v>
      </c>
      <c r="N24" t="s">
        <v>99</v>
      </c>
      <c r="O24" t="s">
        <v>97</v>
      </c>
      <c r="P24" t="s">
        <v>98</v>
      </c>
      <c r="Q24" t="s">
        <v>0</v>
      </c>
      <c r="R24" t="s">
        <v>98</v>
      </c>
      <c r="S24" t="s">
        <v>98</v>
      </c>
      <c r="T24" t="s">
        <v>98</v>
      </c>
      <c r="U24" t="s">
        <v>98</v>
      </c>
      <c r="V24" t="s">
        <v>97</v>
      </c>
      <c r="W24" t="s">
        <v>98</v>
      </c>
      <c r="X24" t="s">
        <v>98</v>
      </c>
      <c r="Y24" t="s">
        <v>98</v>
      </c>
      <c r="Z24" t="s">
        <v>0</v>
      </c>
      <c r="AA24" t="s">
        <v>98</v>
      </c>
      <c r="AB24" t="s">
        <v>98</v>
      </c>
      <c r="AC24" t="s">
        <v>97</v>
      </c>
      <c r="AD24" t="s">
        <v>98</v>
      </c>
      <c r="AE24" t="s">
        <v>98</v>
      </c>
      <c r="AF24" t="s">
        <v>98</v>
      </c>
      <c r="AG24">
        <f t="shared" si="0"/>
        <v>22</v>
      </c>
      <c r="AH24">
        <f t="shared" si="1"/>
        <v>2</v>
      </c>
      <c r="AI24">
        <f t="shared" si="2"/>
        <v>2</v>
      </c>
      <c r="AJ24">
        <f t="shared" si="3"/>
        <v>4</v>
      </c>
      <c r="AK24">
        <f t="shared" si="4"/>
        <v>28</v>
      </c>
      <c r="AL24">
        <v>357</v>
      </c>
      <c r="AM24">
        <f t="shared" si="5"/>
        <v>9996</v>
      </c>
      <c r="AN24">
        <f t="shared" si="6"/>
        <v>1199.52</v>
      </c>
      <c r="AO24" s="4">
        <f t="shared" si="7"/>
        <v>8796.48</v>
      </c>
    </row>
    <row r="25" spans="1:41" x14ac:dyDescent="0.25">
      <c r="A25">
        <v>19</v>
      </c>
      <c r="B25" t="s">
        <v>44</v>
      </c>
      <c r="C25" t="s">
        <v>98</v>
      </c>
      <c r="D25" t="s">
        <v>98</v>
      </c>
      <c r="E25" t="s">
        <v>98</v>
      </c>
      <c r="F25" t="s">
        <v>98</v>
      </c>
      <c r="G25" t="s">
        <v>98</v>
      </c>
      <c r="H25" s="2" t="s">
        <v>97</v>
      </c>
      <c r="I25" t="s">
        <v>98</v>
      </c>
      <c r="J25" t="s">
        <v>0</v>
      </c>
      <c r="K25" t="s">
        <v>98</v>
      </c>
      <c r="L25" t="s">
        <v>98</v>
      </c>
      <c r="M25" t="s">
        <v>98</v>
      </c>
      <c r="N25" t="s">
        <v>98</v>
      </c>
      <c r="O25" t="s">
        <v>97</v>
      </c>
      <c r="P25" t="s">
        <v>98</v>
      </c>
      <c r="Q25" t="s">
        <v>98</v>
      </c>
      <c r="R25" t="s">
        <v>98</v>
      </c>
      <c r="S25" t="s">
        <v>98</v>
      </c>
      <c r="T25" t="s">
        <v>98</v>
      </c>
      <c r="U25" t="s">
        <v>98</v>
      </c>
      <c r="V25" t="s">
        <v>97</v>
      </c>
      <c r="W25" t="s">
        <v>98</v>
      </c>
      <c r="X25" t="s">
        <v>99</v>
      </c>
      <c r="Y25" t="s">
        <v>98</v>
      </c>
      <c r="Z25" t="s">
        <v>98</v>
      </c>
      <c r="AA25" t="s">
        <v>98</v>
      </c>
      <c r="AB25" t="s">
        <v>98</v>
      </c>
      <c r="AC25" t="s">
        <v>97</v>
      </c>
      <c r="AD25" t="s">
        <v>0</v>
      </c>
      <c r="AE25" t="s">
        <v>98</v>
      </c>
      <c r="AF25" t="s">
        <v>98</v>
      </c>
      <c r="AG25">
        <f t="shared" si="0"/>
        <v>23</v>
      </c>
      <c r="AH25">
        <f t="shared" si="1"/>
        <v>2</v>
      </c>
      <c r="AI25">
        <f t="shared" si="2"/>
        <v>1</v>
      </c>
      <c r="AJ25">
        <f t="shared" si="3"/>
        <v>4</v>
      </c>
      <c r="AK25">
        <f t="shared" si="4"/>
        <v>28</v>
      </c>
      <c r="AL25">
        <v>655</v>
      </c>
      <c r="AM25">
        <f t="shared" si="5"/>
        <v>18340</v>
      </c>
      <c r="AN25">
        <f t="shared" si="6"/>
        <v>2200.7999999999997</v>
      </c>
      <c r="AO25" s="4">
        <f t="shared" si="7"/>
        <v>16139.2</v>
      </c>
    </row>
    <row r="26" spans="1:41" x14ac:dyDescent="0.25">
      <c r="A26">
        <v>20</v>
      </c>
      <c r="B26" t="s">
        <v>45</v>
      </c>
      <c r="C26" t="s">
        <v>98</v>
      </c>
      <c r="D26" t="s">
        <v>98</v>
      </c>
      <c r="E26" t="s">
        <v>98</v>
      </c>
      <c r="F26" t="s">
        <v>0</v>
      </c>
      <c r="G26" t="s">
        <v>98</v>
      </c>
      <c r="H26" s="2" t="s">
        <v>97</v>
      </c>
      <c r="I26" t="s">
        <v>98</v>
      </c>
      <c r="J26" t="s">
        <v>98</v>
      </c>
      <c r="K26" t="s">
        <v>98</v>
      </c>
      <c r="L26" t="s">
        <v>98</v>
      </c>
      <c r="M26" t="s">
        <v>99</v>
      </c>
      <c r="N26" t="s">
        <v>98</v>
      </c>
      <c r="O26" t="s">
        <v>97</v>
      </c>
      <c r="P26" t="s">
        <v>98</v>
      </c>
      <c r="Q26" t="s">
        <v>98</v>
      </c>
      <c r="R26" t="s">
        <v>98</v>
      </c>
      <c r="S26" t="s">
        <v>98</v>
      </c>
      <c r="T26" t="s">
        <v>98</v>
      </c>
      <c r="U26" t="s">
        <v>98</v>
      </c>
      <c r="V26" t="s">
        <v>97</v>
      </c>
      <c r="W26" t="s">
        <v>98</v>
      </c>
      <c r="X26" t="s">
        <v>98</v>
      </c>
      <c r="Y26" t="s">
        <v>98</v>
      </c>
      <c r="Z26" t="s">
        <v>98</v>
      </c>
      <c r="AA26" t="s">
        <v>98</v>
      </c>
      <c r="AB26" t="s">
        <v>98</v>
      </c>
      <c r="AC26" t="s">
        <v>97</v>
      </c>
      <c r="AD26" t="s">
        <v>98</v>
      </c>
      <c r="AE26" t="s">
        <v>98</v>
      </c>
      <c r="AF26" t="s">
        <v>98</v>
      </c>
      <c r="AG26">
        <f t="shared" si="0"/>
        <v>24</v>
      </c>
      <c r="AH26">
        <f t="shared" si="1"/>
        <v>1</v>
      </c>
      <c r="AI26">
        <f t="shared" si="2"/>
        <v>1</v>
      </c>
      <c r="AJ26">
        <f t="shared" si="3"/>
        <v>4</v>
      </c>
      <c r="AK26">
        <f t="shared" si="4"/>
        <v>29</v>
      </c>
      <c r="AL26">
        <v>100</v>
      </c>
      <c r="AM26">
        <f t="shared" si="5"/>
        <v>2900</v>
      </c>
      <c r="AN26">
        <f t="shared" si="6"/>
        <v>348</v>
      </c>
      <c r="AO26" s="4">
        <f t="shared" si="7"/>
        <v>2552</v>
      </c>
    </row>
    <row r="27" spans="1:41" x14ac:dyDescent="0.25">
      <c r="A27">
        <v>21</v>
      </c>
      <c r="B27" t="s">
        <v>46</v>
      </c>
      <c r="C27" t="s">
        <v>98</v>
      </c>
      <c r="D27" t="s">
        <v>98</v>
      </c>
      <c r="E27" t="s">
        <v>98</v>
      </c>
      <c r="F27" t="s">
        <v>98</v>
      </c>
      <c r="G27" t="s">
        <v>0</v>
      </c>
      <c r="H27" s="2" t="s">
        <v>97</v>
      </c>
      <c r="I27" t="s">
        <v>98</v>
      </c>
      <c r="J27" t="s">
        <v>98</v>
      </c>
      <c r="K27" t="s">
        <v>98</v>
      </c>
      <c r="L27" t="s">
        <v>98</v>
      </c>
      <c r="M27" t="s">
        <v>99</v>
      </c>
      <c r="N27" t="s">
        <v>98</v>
      </c>
      <c r="O27" t="s">
        <v>97</v>
      </c>
      <c r="P27" t="s">
        <v>98</v>
      </c>
      <c r="Q27" t="s">
        <v>98</v>
      </c>
      <c r="R27" t="s">
        <v>98</v>
      </c>
      <c r="S27" t="s">
        <v>98</v>
      </c>
      <c r="T27" t="s">
        <v>98</v>
      </c>
      <c r="U27" t="s">
        <v>98</v>
      </c>
      <c r="V27" t="s">
        <v>98</v>
      </c>
      <c r="W27" t="s">
        <v>98</v>
      </c>
      <c r="X27" t="s">
        <v>98</v>
      </c>
      <c r="Y27" t="s">
        <v>98</v>
      </c>
      <c r="Z27" t="s">
        <v>98</v>
      </c>
      <c r="AA27" t="s">
        <v>98</v>
      </c>
      <c r="AB27" t="s">
        <v>98</v>
      </c>
      <c r="AC27" t="s">
        <v>98</v>
      </c>
      <c r="AD27" t="s">
        <v>98</v>
      </c>
      <c r="AE27" t="s">
        <v>98</v>
      </c>
      <c r="AF27" t="s">
        <v>99</v>
      </c>
      <c r="AG27">
        <f>COUNTIF(C27:AF27,"P")</f>
        <v>25</v>
      </c>
      <c r="AH27">
        <f t="shared" si="1"/>
        <v>1</v>
      </c>
      <c r="AI27">
        <f t="shared" si="2"/>
        <v>2</v>
      </c>
      <c r="AJ27">
        <f t="shared" si="3"/>
        <v>2</v>
      </c>
      <c r="AK27">
        <f t="shared" si="4"/>
        <v>29</v>
      </c>
      <c r="AL27">
        <v>258</v>
      </c>
      <c r="AM27">
        <f t="shared" si="5"/>
        <v>7482</v>
      </c>
      <c r="AN27">
        <f t="shared" si="6"/>
        <v>897.83999999999992</v>
      </c>
      <c r="AO27" s="4">
        <f t="shared" si="7"/>
        <v>6584.16</v>
      </c>
    </row>
    <row r="28" spans="1:41" x14ac:dyDescent="0.25">
      <c r="A28">
        <v>22</v>
      </c>
      <c r="B28" t="s">
        <v>47</v>
      </c>
      <c r="C28" t="s">
        <v>98</v>
      </c>
      <c r="D28" t="s">
        <v>98</v>
      </c>
      <c r="E28" t="s">
        <v>98</v>
      </c>
      <c r="F28" t="s">
        <v>99</v>
      </c>
      <c r="G28" t="s">
        <v>98</v>
      </c>
      <c r="H28" s="2" t="s">
        <v>97</v>
      </c>
      <c r="I28" t="s">
        <v>98</v>
      </c>
      <c r="J28" t="s">
        <v>0</v>
      </c>
      <c r="K28" t="s">
        <v>98</v>
      </c>
      <c r="L28" t="s">
        <v>98</v>
      </c>
      <c r="M28" t="s">
        <v>98</v>
      </c>
      <c r="N28" t="s">
        <v>98</v>
      </c>
      <c r="O28" t="s">
        <v>97</v>
      </c>
      <c r="P28" t="s">
        <v>98</v>
      </c>
      <c r="Q28" t="s">
        <v>98</v>
      </c>
      <c r="R28" t="s">
        <v>99</v>
      </c>
      <c r="S28" t="s">
        <v>0</v>
      </c>
      <c r="T28" t="s">
        <v>98</v>
      </c>
      <c r="U28" t="s">
        <v>98</v>
      </c>
      <c r="V28" t="s">
        <v>98</v>
      </c>
      <c r="W28" t="s">
        <v>98</v>
      </c>
      <c r="X28" t="s">
        <v>98</v>
      </c>
      <c r="Y28" t="s">
        <v>98</v>
      </c>
      <c r="Z28" t="s">
        <v>98</v>
      </c>
      <c r="AA28" t="s">
        <v>98</v>
      </c>
      <c r="AB28" t="s">
        <v>98</v>
      </c>
      <c r="AC28" t="s">
        <v>98</v>
      </c>
      <c r="AD28" t="s">
        <v>98</v>
      </c>
      <c r="AE28" t="s">
        <v>98</v>
      </c>
      <c r="AF28" t="s">
        <v>0</v>
      </c>
      <c r="AG28">
        <f t="shared" si="0"/>
        <v>23</v>
      </c>
      <c r="AH28">
        <f t="shared" si="1"/>
        <v>3</v>
      </c>
      <c r="AI28">
        <f t="shared" si="2"/>
        <v>2</v>
      </c>
      <c r="AJ28">
        <f t="shared" si="3"/>
        <v>2</v>
      </c>
      <c r="AK28">
        <f t="shared" si="4"/>
        <v>27</v>
      </c>
      <c r="AL28">
        <v>236</v>
      </c>
      <c r="AM28">
        <f t="shared" si="5"/>
        <v>6372</v>
      </c>
      <c r="AN28">
        <f t="shared" si="6"/>
        <v>764.64</v>
      </c>
      <c r="AO28" s="4">
        <f t="shared" si="7"/>
        <v>5607.36</v>
      </c>
    </row>
    <row r="33" spans="1:41" x14ac:dyDescent="0.25">
      <c r="A33" t="s">
        <v>9</v>
      </c>
      <c r="B33" t="s">
        <v>108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s="3" t="s">
        <v>95</v>
      </c>
      <c r="I33" t="s">
        <v>96</v>
      </c>
      <c r="J33" t="s">
        <v>90</v>
      </c>
      <c r="K33" t="s">
        <v>91</v>
      </c>
      <c r="L33" t="s">
        <v>92</v>
      </c>
      <c r="M33" t="s">
        <v>93</v>
      </c>
      <c r="N33" t="s">
        <v>94</v>
      </c>
      <c r="O33" t="s">
        <v>95</v>
      </c>
      <c r="P33" t="s">
        <v>96</v>
      </c>
      <c r="Q33" t="s">
        <v>90</v>
      </c>
      <c r="R33" t="s">
        <v>91</v>
      </c>
      <c r="S33" t="s">
        <v>92</v>
      </c>
      <c r="T33" t="s">
        <v>93</v>
      </c>
      <c r="U33" t="s">
        <v>94</v>
      </c>
      <c r="V33" t="s">
        <v>95</v>
      </c>
      <c r="W33" t="s">
        <v>96</v>
      </c>
      <c r="X33" t="s">
        <v>90</v>
      </c>
      <c r="Y33" t="s">
        <v>91</v>
      </c>
      <c r="Z33" t="s">
        <v>92</v>
      </c>
      <c r="AA33" t="s">
        <v>93</v>
      </c>
      <c r="AB33" t="s">
        <v>94</v>
      </c>
      <c r="AC33" t="s">
        <v>95</v>
      </c>
      <c r="AD33" t="s">
        <v>96</v>
      </c>
      <c r="AE33" t="s">
        <v>90</v>
      </c>
      <c r="AF33" t="s">
        <v>91</v>
      </c>
      <c r="AG33" t="s">
        <v>100</v>
      </c>
      <c r="AH33" t="s">
        <v>101</v>
      </c>
      <c r="AI33" t="s">
        <v>126</v>
      </c>
      <c r="AJ33" t="s">
        <v>103</v>
      </c>
      <c r="AK33" t="s">
        <v>104</v>
      </c>
      <c r="AL33" t="s">
        <v>105</v>
      </c>
      <c r="AM33" t="s">
        <v>127</v>
      </c>
      <c r="AN33" t="s">
        <v>128</v>
      </c>
      <c r="AO33" s="5" t="s">
        <v>25</v>
      </c>
    </row>
    <row r="34" spans="1:41" x14ac:dyDescent="0.25">
      <c r="A34">
        <v>1</v>
      </c>
      <c r="B34" t="s">
        <v>109</v>
      </c>
      <c r="C34" t="s">
        <v>98</v>
      </c>
      <c r="D34" t="s">
        <v>98</v>
      </c>
      <c r="E34" t="s">
        <v>98</v>
      </c>
      <c r="F34" t="s">
        <v>98</v>
      </c>
      <c r="G34" t="s">
        <v>98</v>
      </c>
      <c r="H34" s="3" t="s">
        <v>97</v>
      </c>
      <c r="I34" t="s">
        <v>98</v>
      </c>
      <c r="J34" t="s">
        <v>98</v>
      </c>
      <c r="K34" t="s">
        <v>98</v>
      </c>
      <c r="L34" t="s">
        <v>98</v>
      </c>
      <c r="M34" t="s">
        <v>98</v>
      </c>
      <c r="N34" t="s">
        <v>98</v>
      </c>
      <c r="O34" t="s">
        <v>97</v>
      </c>
      <c r="P34" t="s">
        <v>98</v>
      </c>
      <c r="Q34" t="s">
        <v>98</v>
      </c>
      <c r="R34" t="s">
        <v>98</v>
      </c>
      <c r="S34" t="s">
        <v>98</v>
      </c>
      <c r="T34" t="s">
        <v>98</v>
      </c>
      <c r="U34" t="s">
        <v>98</v>
      </c>
      <c r="V34" t="s">
        <v>97</v>
      </c>
      <c r="W34" t="s">
        <v>98</v>
      </c>
      <c r="X34" t="s">
        <v>98</v>
      </c>
      <c r="Y34" t="s">
        <v>99</v>
      </c>
      <c r="Z34" t="s">
        <v>98</v>
      </c>
      <c r="AA34" t="s">
        <v>98</v>
      </c>
      <c r="AB34" t="s">
        <v>98</v>
      </c>
      <c r="AC34" t="s">
        <v>97</v>
      </c>
      <c r="AD34" t="s">
        <v>98</v>
      </c>
      <c r="AE34" t="s">
        <v>98</v>
      </c>
      <c r="AF34" t="s">
        <v>98</v>
      </c>
      <c r="AG34">
        <f>COUNTIF(C34:AF34,"P")</f>
        <v>25</v>
      </c>
      <c r="AH34">
        <f>COUNTIF(C34:AF34,"A")</f>
        <v>0</v>
      </c>
      <c r="AI34">
        <f>COUNTIF(C34:AF34,"L")</f>
        <v>1</v>
      </c>
      <c r="AJ34">
        <f>COUNTIF(C34:AF34,"H")</f>
        <v>4</v>
      </c>
      <c r="AK34">
        <f>AG34+AH34+AJ34</f>
        <v>29</v>
      </c>
      <c r="AL34">
        <v>100</v>
      </c>
      <c r="AM34">
        <f>AL34*AK34</f>
        <v>2900</v>
      </c>
      <c r="AN34">
        <f>AM34*15%</f>
        <v>435</v>
      </c>
      <c r="AO34" s="5">
        <f>AM34-AN34</f>
        <v>2465</v>
      </c>
    </row>
    <row r="35" spans="1:41" x14ac:dyDescent="0.25">
      <c r="A35">
        <v>2</v>
      </c>
      <c r="B35" t="s">
        <v>110</v>
      </c>
      <c r="C35" t="s">
        <v>98</v>
      </c>
      <c r="D35" t="s">
        <v>98</v>
      </c>
      <c r="E35" t="s">
        <v>0</v>
      </c>
      <c r="F35" t="s">
        <v>98</v>
      </c>
      <c r="G35" t="s">
        <v>98</v>
      </c>
      <c r="H35" s="3" t="s">
        <v>97</v>
      </c>
      <c r="I35" t="s">
        <v>98</v>
      </c>
      <c r="J35" t="s">
        <v>98</v>
      </c>
      <c r="K35" t="s">
        <v>98</v>
      </c>
      <c r="L35" t="s">
        <v>98</v>
      </c>
      <c r="M35" t="s">
        <v>98</v>
      </c>
      <c r="N35" t="s">
        <v>0</v>
      </c>
      <c r="O35" t="s">
        <v>97</v>
      </c>
      <c r="P35" t="s">
        <v>98</v>
      </c>
      <c r="Q35" t="s">
        <v>98</v>
      </c>
      <c r="R35" t="s">
        <v>98</v>
      </c>
      <c r="S35" t="s">
        <v>98</v>
      </c>
      <c r="T35" t="s">
        <v>98</v>
      </c>
      <c r="U35" t="s">
        <v>98</v>
      </c>
      <c r="V35" t="s">
        <v>97</v>
      </c>
      <c r="W35" t="s">
        <v>98</v>
      </c>
      <c r="X35" t="s">
        <v>98</v>
      </c>
      <c r="Y35" t="s">
        <v>98</v>
      </c>
      <c r="Z35" t="s">
        <v>98</v>
      </c>
      <c r="AA35" t="s">
        <v>98</v>
      </c>
      <c r="AB35" t="s">
        <v>98</v>
      </c>
      <c r="AC35" t="s">
        <v>97</v>
      </c>
      <c r="AD35" t="s">
        <v>98</v>
      </c>
      <c r="AE35" t="s">
        <v>98</v>
      </c>
      <c r="AF35" t="s">
        <v>99</v>
      </c>
      <c r="AG35">
        <f t="shared" ref="AG35:AG53" si="8">COUNTIF(C35:AF35,"P")</f>
        <v>23</v>
      </c>
      <c r="AH35">
        <f t="shared" ref="AH35:AH53" si="9">COUNTIF(C35:AF35,"A")</f>
        <v>2</v>
      </c>
      <c r="AI35">
        <f t="shared" ref="AI35:AI53" si="10">COUNTIF(C35:AF35,"L")</f>
        <v>1</v>
      </c>
      <c r="AJ35">
        <f t="shared" ref="AJ35:AJ53" si="11">COUNTIF(C35:AF35,"H")</f>
        <v>4</v>
      </c>
      <c r="AK35">
        <f t="shared" ref="AK35:AK53" si="12">AG35+AH35+AJ35</f>
        <v>29</v>
      </c>
      <c r="AL35">
        <v>350</v>
      </c>
      <c r="AM35">
        <f t="shared" ref="AM35:AM53" si="13">AL35*AK35</f>
        <v>10150</v>
      </c>
      <c r="AN35">
        <f t="shared" ref="AN35:AN53" si="14">AM35*15%</f>
        <v>1522.5</v>
      </c>
      <c r="AO35" s="5">
        <f t="shared" ref="AO35:AO53" si="15">AM35-AN35</f>
        <v>8627.5</v>
      </c>
    </row>
    <row r="36" spans="1:41" x14ac:dyDescent="0.25">
      <c r="A36">
        <v>3</v>
      </c>
      <c r="B36" t="s">
        <v>111</v>
      </c>
      <c r="C36" t="s">
        <v>98</v>
      </c>
      <c r="D36" t="s">
        <v>98</v>
      </c>
      <c r="E36" t="s">
        <v>98</v>
      </c>
      <c r="F36" t="s">
        <v>98</v>
      </c>
      <c r="G36" t="s">
        <v>98</v>
      </c>
      <c r="H36" s="3" t="s">
        <v>97</v>
      </c>
      <c r="I36" t="s">
        <v>98</v>
      </c>
      <c r="J36" t="s">
        <v>98</v>
      </c>
      <c r="K36" t="s">
        <v>98</v>
      </c>
      <c r="L36" t="s">
        <v>98</v>
      </c>
      <c r="M36" t="s">
        <v>98</v>
      </c>
      <c r="N36" t="s">
        <v>98</v>
      </c>
      <c r="O36" t="s">
        <v>97</v>
      </c>
      <c r="P36" t="s">
        <v>98</v>
      </c>
      <c r="Q36" t="s">
        <v>98</v>
      </c>
      <c r="R36" t="s">
        <v>98</v>
      </c>
      <c r="S36" t="s">
        <v>0</v>
      </c>
      <c r="T36" t="s">
        <v>98</v>
      </c>
      <c r="U36" t="s">
        <v>98</v>
      </c>
      <c r="V36" t="s">
        <v>97</v>
      </c>
      <c r="W36" t="s">
        <v>98</v>
      </c>
      <c r="X36" t="s">
        <v>99</v>
      </c>
      <c r="Y36" t="s">
        <v>98</v>
      </c>
      <c r="Z36" t="s">
        <v>98</v>
      </c>
      <c r="AA36" t="s">
        <v>98</v>
      </c>
      <c r="AB36" t="s">
        <v>98</v>
      </c>
      <c r="AC36" t="s">
        <v>97</v>
      </c>
      <c r="AD36" t="s">
        <v>98</v>
      </c>
      <c r="AE36" t="s">
        <v>98</v>
      </c>
      <c r="AF36" t="s">
        <v>98</v>
      </c>
      <c r="AG36">
        <f t="shared" si="8"/>
        <v>24</v>
      </c>
      <c r="AH36">
        <f t="shared" si="9"/>
        <v>1</v>
      </c>
      <c r="AI36">
        <f t="shared" si="10"/>
        <v>1</v>
      </c>
      <c r="AJ36">
        <f t="shared" si="11"/>
        <v>4</v>
      </c>
      <c r="AK36">
        <f t="shared" si="12"/>
        <v>29</v>
      </c>
      <c r="AL36">
        <v>634</v>
      </c>
      <c r="AM36">
        <f t="shared" si="13"/>
        <v>18386</v>
      </c>
      <c r="AN36">
        <f t="shared" si="14"/>
        <v>2757.9</v>
      </c>
      <c r="AO36" s="5">
        <f t="shared" si="15"/>
        <v>15628.1</v>
      </c>
    </row>
    <row r="37" spans="1:41" x14ac:dyDescent="0.25">
      <c r="A37">
        <v>4</v>
      </c>
      <c r="B37" t="s">
        <v>112</v>
      </c>
      <c r="C37" t="s">
        <v>0</v>
      </c>
      <c r="D37" t="s">
        <v>98</v>
      </c>
      <c r="E37" t="s">
        <v>98</v>
      </c>
      <c r="F37" t="s">
        <v>98</v>
      </c>
      <c r="G37" t="s">
        <v>98</v>
      </c>
      <c r="H37" s="3" t="s">
        <v>97</v>
      </c>
      <c r="I37" t="s">
        <v>99</v>
      </c>
      <c r="J37" t="s">
        <v>98</v>
      </c>
      <c r="K37" t="s">
        <v>98</v>
      </c>
      <c r="L37" t="s">
        <v>98</v>
      </c>
      <c r="M37" t="s">
        <v>98</v>
      </c>
      <c r="N37" t="s">
        <v>98</v>
      </c>
      <c r="O37" t="s">
        <v>97</v>
      </c>
      <c r="P37" t="s">
        <v>98</v>
      </c>
      <c r="Q37" t="s">
        <v>98</v>
      </c>
      <c r="R37" t="s">
        <v>98</v>
      </c>
      <c r="S37" t="s">
        <v>98</v>
      </c>
      <c r="T37" t="s">
        <v>99</v>
      </c>
      <c r="U37" t="s">
        <v>98</v>
      </c>
      <c r="V37" t="s">
        <v>97</v>
      </c>
      <c r="W37" t="s">
        <v>98</v>
      </c>
      <c r="X37" t="s">
        <v>98</v>
      </c>
      <c r="Y37" t="s">
        <v>98</v>
      </c>
      <c r="Z37" t="s">
        <v>98</v>
      </c>
      <c r="AA37" t="s">
        <v>98</v>
      </c>
      <c r="AB37" t="s">
        <v>98</v>
      </c>
      <c r="AC37" t="s">
        <v>97</v>
      </c>
      <c r="AD37" t="s">
        <v>99</v>
      </c>
      <c r="AE37" t="s">
        <v>98</v>
      </c>
      <c r="AF37" t="s">
        <v>99</v>
      </c>
      <c r="AG37">
        <f t="shared" si="8"/>
        <v>21</v>
      </c>
      <c r="AH37">
        <f t="shared" si="9"/>
        <v>1</v>
      </c>
      <c r="AI37">
        <f t="shared" si="10"/>
        <v>4</v>
      </c>
      <c r="AJ37">
        <f t="shared" si="11"/>
        <v>4</v>
      </c>
      <c r="AK37">
        <f t="shared" si="12"/>
        <v>26</v>
      </c>
      <c r="AL37">
        <v>756</v>
      </c>
      <c r="AM37">
        <f t="shared" si="13"/>
        <v>19656</v>
      </c>
      <c r="AN37">
        <f t="shared" si="14"/>
        <v>2948.4</v>
      </c>
      <c r="AO37" s="5">
        <f t="shared" si="15"/>
        <v>16707.599999999999</v>
      </c>
    </row>
    <row r="38" spans="1:41" x14ac:dyDescent="0.25">
      <c r="A38">
        <v>5</v>
      </c>
      <c r="B38" t="s">
        <v>26</v>
      </c>
      <c r="C38" t="s">
        <v>98</v>
      </c>
      <c r="D38" t="s">
        <v>0</v>
      </c>
      <c r="E38" t="s">
        <v>98</v>
      </c>
      <c r="F38" t="s">
        <v>99</v>
      </c>
      <c r="G38" t="s">
        <v>98</v>
      </c>
      <c r="H38" s="3" t="s">
        <v>97</v>
      </c>
      <c r="I38" t="s">
        <v>98</v>
      </c>
      <c r="J38" t="s">
        <v>98</v>
      </c>
      <c r="K38" t="s">
        <v>98</v>
      </c>
      <c r="L38" t="s">
        <v>98</v>
      </c>
      <c r="M38" t="s">
        <v>99</v>
      </c>
      <c r="N38" t="s">
        <v>98</v>
      </c>
      <c r="O38" t="s">
        <v>97</v>
      </c>
      <c r="P38" t="s">
        <v>0</v>
      </c>
      <c r="Q38" t="s">
        <v>98</v>
      </c>
      <c r="R38" t="s">
        <v>98</v>
      </c>
      <c r="S38" t="s">
        <v>98</v>
      </c>
      <c r="T38" t="s">
        <v>98</v>
      </c>
      <c r="U38" t="s">
        <v>98</v>
      </c>
      <c r="V38" t="s">
        <v>97</v>
      </c>
      <c r="W38" t="s">
        <v>0</v>
      </c>
      <c r="X38" t="s">
        <v>98</v>
      </c>
      <c r="Y38" t="s">
        <v>98</v>
      </c>
      <c r="Z38" t="s">
        <v>98</v>
      </c>
      <c r="AA38" t="s">
        <v>0</v>
      </c>
      <c r="AB38" t="s">
        <v>98</v>
      </c>
      <c r="AC38" t="s">
        <v>97</v>
      </c>
      <c r="AD38" t="s">
        <v>98</v>
      </c>
      <c r="AE38" t="s">
        <v>98</v>
      </c>
      <c r="AF38" t="s">
        <v>98</v>
      </c>
      <c r="AG38">
        <f t="shared" si="8"/>
        <v>20</v>
      </c>
      <c r="AH38">
        <f t="shared" si="9"/>
        <v>4</v>
      </c>
      <c r="AI38">
        <f t="shared" si="10"/>
        <v>2</v>
      </c>
      <c r="AJ38">
        <f t="shared" si="11"/>
        <v>4</v>
      </c>
      <c r="AK38">
        <f t="shared" si="12"/>
        <v>28</v>
      </c>
      <c r="AL38">
        <v>951</v>
      </c>
      <c r="AM38">
        <f t="shared" si="13"/>
        <v>26628</v>
      </c>
      <c r="AN38">
        <f t="shared" si="14"/>
        <v>3994.2</v>
      </c>
      <c r="AO38" s="5">
        <f t="shared" si="15"/>
        <v>22633.8</v>
      </c>
    </row>
    <row r="39" spans="1:41" x14ac:dyDescent="0.25">
      <c r="A39">
        <v>6</v>
      </c>
      <c r="B39" t="s">
        <v>113</v>
      </c>
      <c r="C39" t="s">
        <v>98</v>
      </c>
      <c r="D39" t="s">
        <v>98</v>
      </c>
      <c r="E39" t="s">
        <v>98</v>
      </c>
      <c r="F39" t="s">
        <v>98</v>
      </c>
      <c r="G39" t="s">
        <v>98</v>
      </c>
      <c r="H39" s="3" t="s">
        <v>97</v>
      </c>
      <c r="I39" t="s">
        <v>98</v>
      </c>
      <c r="J39" t="s">
        <v>98</v>
      </c>
      <c r="K39" t="s">
        <v>0</v>
      </c>
      <c r="L39" t="s">
        <v>98</v>
      </c>
      <c r="M39" t="s">
        <v>0</v>
      </c>
      <c r="N39" t="s">
        <v>98</v>
      </c>
      <c r="O39" t="s">
        <v>97</v>
      </c>
      <c r="P39" t="s">
        <v>98</v>
      </c>
      <c r="Q39" t="s">
        <v>98</v>
      </c>
      <c r="R39" t="s">
        <v>98</v>
      </c>
      <c r="S39" t="s">
        <v>98</v>
      </c>
      <c r="T39" t="s">
        <v>98</v>
      </c>
      <c r="U39" t="s">
        <v>98</v>
      </c>
      <c r="V39" t="s">
        <v>97</v>
      </c>
      <c r="W39" t="s">
        <v>98</v>
      </c>
      <c r="X39" t="s">
        <v>98</v>
      </c>
      <c r="Y39" t="s">
        <v>98</v>
      </c>
      <c r="Z39" t="s">
        <v>98</v>
      </c>
      <c r="AA39" t="s">
        <v>98</v>
      </c>
      <c r="AB39" t="s">
        <v>98</v>
      </c>
      <c r="AC39" t="s">
        <v>97</v>
      </c>
      <c r="AD39" t="s">
        <v>98</v>
      </c>
      <c r="AE39" t="s">
        <v>98</v>
      </c>
      <c r="AF39" t="s">
        <v>98</v>
      </c>
      <c r="AG39">
        <f t="shared" si="8"/>
        <v>24</v>
      </c>
      <c r="AH39">
        <f t="shared" si="9"/>
        <v>2</v>
      </c>
      <c r="AI39">
        <f t="shared" si="10"/>
        <v>0</v>
      </c>
      <c r="AJ39">
        <f t="shared" si="11"/>
        <v>4</v>
      </c>
      <c r="AK39">
        <f t="shared" si="12"/>
        <v>30</v>
      </c>
      <c r="AL39">
        <v>325</v>
      </c>
      <c r="AM39">
        <f t="shared" si="13"/>
        <v>9750</v>
      </c>
      <c r="AN39">
        <f t="shared" si="14"/>
        <v>1462.5</v>
      </c>
      <c r="AO39" s="5">
        <f t="shared" si="15"/>
        <v>8287.5</v>
      </c>
    </row>
    <row r="40" spans="1:41" x14ac:dyDescent="0.25">
      <c r="A40">
        <v>7</v>
      </c>
      <c r="B40" t="s">
        <v>114</v>
      </c>
      <c r="C40" t="s">
        <v>98</v>
      </c>
      <c r="D40" t="s">
        <v>98</v>
      </c>
      <c r="E40" t="s">
        <v>98</v>
      </c>
      <c r="F40" t="s">
        <v>98</v>
      </c>
      <c r="G40" t="s">
        <v>98</v>
      </c>
      <c r="H40" s="3" t="s">
        <v>97</v>
      </c>
      <c r="I40" t="s">
        <v>98</v>
      </c>
      <c r="J40" t="s">
        <v>98</v>
      </c>
      <c r="K40" t="s">
        <v>98</v>
      </c>
      <c r="L40" t="s">
        <v>98</v>
      </c>
      <c r="M40" t="s">
        <v>98</v>
      </c>
      <c r="N40" t="s">
        <v>98</v>
      </c>
      <c r="O40" t="s">
        <v>97</v>
      </c>
      <c r="P40" t="s">
        <v>98</v>
      </c>
      <c r="Q40" t="s">
        <v>98</v>
      </c>
      <c r="R40" t="s">
        <v>98</v>
      </c>
      <c r="S40" t="s">
        <v>98</v>
      </c>
      <c r="T40" t="s">
        <v>98</v>
      </c>
      <c r="U40" t="s">
        <v>98</v>
      </c>
      <c r="V40" t="s">
        <v>97</v>
      </c>
      <c r="W40" t="s">
        <v>98</v>
      </c>
      <c r="X40" t="s">
        <v>98</v>
      </c>
      <c r="Y40" t="s">
        <v>98</v>
      </c>
      <c r="Z40" t="s">
        <v>99</v>
      </c>
      <c r="AA40" t="s">
        <v>98</v>
      </c>
      <c r="AB40" t="s">
        <v>98</v>
      </c>
      <c r="AC40" t="s">
        <v>97</v>
      </c>
      <c r="AD40" t="s">
        <v>0</v>
      </c>
      <c r="AE40" t="s">
        <v>98</v>
      </c>
      <c r="AF40" t="s">
        <v>98</v>
      </c>
      <c r="AG40">
        <f t="shared" si="8"/>
        <v>24</v>
      </c>
      <c r="AH40">
        <f t="shared" si="9"/>
        <v>1</v>
      </c>
      <c r="AI40">
        <f t="shared" si="10"/>
        <v>1</v>
      </c>
      <c r="AJ40">
        <f t="shared" si="11"/>
        <v>4</v>
      </c>
      <c r="AK40">
        <f t="shared" si="12"/>
        <v>29</v>
      </c>
      <c r="AL40">
        <v>1000</v>
      </c>
      <c r="AM40">
        <f t="shared" si="13"/>
        <v>29000</v>
      </c>
      <c r="AN40">
        <f t="shared" si="14"/>
        <v>4350</v>
      </c>
      <c r="AO40" s="5">
        <f t="shared" si="15"/>
        <v>24650</v>
      </c>
    </row>
    <row r="41" spans="1:41" x14ac:dyDescent="0.25">
      <c r="A41">
        <v>8</v>
      </c>
      <c r="B41" t="s">
        <v>115</v>
      </c>
      <c r="C41" t="s">
        <v>0</v>
      </c>
      <c r="D41" t="s">
        <v>98</v>
      </c>
      <c r="E41" t="s">
        <v>98</v>
      </c>
      <c r="F41" t="s">
        <v>0</v>
      </c>
      <c r="G41" t="s">
        <v>98</v>
      </c>
      <c r="H41" s="3" t="s">
        <v>97</v>
      </c>
      <c r="I41" t="s">
        <v>98</v>
      </c>
      <c r="J41" t="s">
        <v>98</v>
      </c>
      <c r="K41" t="s">
        <v>98</v>
      </c>
      <c r="L41" t="s">
        <v>98</v>
      </c>
      <c r="M41" t="s">
        <v>98</v>
      </c>
      <c r="N41" t="s">
        <v>98</v>
      </c>
      <c r="O41" t="s">
        <v>97</v>
      </c>
      <c r="P41" t="s">
        <v>98</v>
      </c>
      <c r="Q41" t="s">
        <v>98</v>
      </c>
      <c r="R41" t="s">
        <v>98</v>
      </c>
      <c r="S41" t="s">
        <v>98</v>
      </c>
      <c r="T41" t="s">
        <v>98</v>
      </c>
      <c r="U41" t="s">
        <v>98</v>
      </c>
      <c r="V41" t="s">
        <v>97</v>
      </c>
      <c r="W41" t="s">
        <v>98</v>
      </c>
      <c r="X41" t="s">
        <v>98</v>
      </c>
      <c r="Y41" t="s">
        <v>98</v>
      </c>
      <c r="Z41" t="s">
        <v>98</v>
      </c>
      <c r="AA41" t="s">
        <v>98</v>
      </c>
      <c r="AB41" t="s">
        <v>98</v>
      </c>
      <c r="AC41" t="s">
        <v>97</v>
      </c>
      <c r="AD41" t="s">
        <v>98</v>
      </c>
      <c r="AE41" t="s">
        <v>98</v>
      </c>
      <c r="AF41" t="s">
        <v>98</v>
      </c>
      <c r="AG41">
        <f t="shared" si="8"/>
        <v>24</v>
      </c>
      <c r="AH41">
        <f t="shared" si="9"/>
        <v>2</v>
      </c>
      <c r="AI41">
        <f t="shared" si="10"/>
        <v>0</v>
      </c>
      <c r="AJ41">
        <f t="shared" si="11"/>
        <v>4</v>
      </c>
      <c r="AK41">
        <f t="shared" si="12"/>
        <v>30</v>
      </c>
      <c r="AL41">
        <v>4259</v>
      </c>
      <c r="AM41">
        <f t="shared" si="13"/>
        <v>127770</v>
      </c>
      <c r="AN41">
        <f t="shared" si="14"/>
        <v>19165.5</v>
      </c>
      <c r="AO41" s="5">
        <f t="shared" si="15"/>
        <v>108604.5</v>
      </c>
    </row>
    <row r="42" spans="1:41" x14ac:dyDescent="0.25">
      <c r="A42">
        <v>9</v>
      </c>
      <c r="B42" t="s">
        <v>116</v>
      </c>
      <c r="C42" t="s">
        <v>98</v>
      </c>
      <c r="D42" t="s">
        <v>98</v>
      </c>
      <c r="E42" t="s">
        <v>98</v>
      </c>
      <c r="F42" t="s">
        <v>98</v>
      </c>
      <c r="G42" t="s">
        <v>98</v>
      </c>
      <c r="H42" s="3" t="s">
        <v>97</v>
      </c>
      <c r="I42" t="s">
        <v>98</v>
      </c>
      <c r="J42" t="s">
        <v>98</v>
      </c>
      <c r="K42" t="s">
        <v>98</v>
      </c>
      <c r="L42" t="s">
        <v>98</v>
      </c>
      <c r="M42" t="s">
        <v>98</v>
      </c>
      <c r="N42" t="s">
        <v>98</v>
      </c>
      <c r="O42" t="s">
        <v>97</v>
      </c>
      <c r="P42" t="s">
        <v>98</v>
      </c>
      <c r="Q42" t="s">
        <v>98</v>
      </c>
      <c r="R42" t="s">
        <v>98</v>
      </c>
      <c r="S42" t="s">
        <v>98</v>
      </c>
      <c r="T42" t="s">
        <v>98</v>
      </c>
      <c r="U42" t="s">
        <v>98</v>
      </c>
      <c r="V42" t="s">
        <v>97</v>
      </c>
      <c r="W42" t="s">
        <v>98</v>
      </c>
      <c r="X42" t="s">
        <v>98</v>
      </c>
      <c r="Y42" t="s">
        <v>0</v>
      </c>
      <c r="Z42" t="s">
        <v>98</v>
      </c>
      <c r="AA42" t="s">
        <v>98</v>
      </c>
      <c r="AB42" t="s">
        <v>0</v>
      </c>
      <c r="AC42" t="s">
        <v>97</v>
      </c>
      <c r="AD42" t="s">
        <v>98</v>
      </c>
      <c r="AE42" t="s">
        <v>98</v>
      </c>
      <c r="AF42" t="s">
        <v>98</v>
      </c>
      <c r="AG42">
        <f t="shared" si="8"/>
        <v>24</v>
      </c>
      <c r="AH42">
        <f t="shared" si="9"/>
        <v>2</v>
      </c>
      <c r="AI42">
        <f t="shared" si="10"/>
        <v>0</v>
      </c>
      <c r="AJ42">
        <f t="shared" si="11"/>
        <v>4</v>
      </c>
      <c r="AK42">
        <f t="shared" si="12"/>
        <v>30</v>
      </c>
      <c r="AL42">
        <v>456</v>
      </c>
      <c r="AM42">
        <f t="shared" si="13"/>
        <v>13680</v>
      </c>
      <c r="AN42">
        <f t="shared" si="14"/>
        <v>2052</v>
      </c>
      <c r="AO42" s="5">
        <f t="shared" si="15"/>
        <v>11628</v>
      </c>
    </row>
    <row r="43" spans="1:41" x14ac:dyDescent="0.25">
      <c r="A43">
        <v>10</v>
      </c>
      <c r="B43" t="s">
        <v>117</v>
      </c>
      <c r="C43" t="s">
        <v>98</v>
      </c>
      <c r="D43" t="s">
        <v>98</v>
      </c>
      <c r="E43" t="s">
        <v>98</v>
      </c>
      <c r="F43" t="s">
        <v>98</v>
      </c>
      <c r="G43" t="s">
        <v>98</v>
      </c>
      <c r="H43" s="3" t="s">
        <v>97</v>
      </c>
      <c r="I43" t="s">
        <v>98</v>
      </c>
      <c r="J43" t="s">
        <v>98</v>
      </c>
      <c r="K43" t="s">
        <v>98</v>
      </c>
      <c r="L43" t="s">
        <v>98</v>
      </c>
      <c r="M43" t="s">
        <v>98</v>
      </c>
      <c r="N43" t="s">
        <v>98</v>
      </c>
      <c r="O43" t="s">
        <v>97</v>
      </c>
      <c r="P43" t="s">
        <v>98</v>
      </c>
      <c r="Q43" t="s">
        <v>98</v>
      </c>
      <c r="R43" t="s">
        <v>98</v>
      </c>
      <c r="S43" t="s">
        <v>98</v>
      </c>
      <c r="T43" t="s">
        <v>98</v>
      </c>
      <c r="U43" t="s">
        <v>98</v>
      </c>
      <c r="V43" t="s">
        <v>97</v>
      </c>
      <c r="W43" t="s">
        <v>98</v>
      </c>
      <c r="X43" t="s">
        <v>98</v>
      </c>
      <c r="Y43" t="s">
        <v>0</v>
      </c>
      <c r="Z43" t="s">
        <v>98</v>
      </c>
      <c r="AA43" t="s">
        <v>98</v>
      </c>
      <c r="AB43" t="s">
        <v>98</v>
      </c>
      <c r="AC43" t="s">
        <v>97</v>
      </c>
      <c r="AD43" t="s">
        <v>98</v>
      </c>
      <c r="AE43" t="s">
        <v>98</v>
      </c>
      <c r="AF43" t="s">
        <v>98</v>
      </c>
      <c r="AG43">
        <f t="shared" si="8"/>
        <v>25</v>
      </c>
      <c r="AH43">
        <f t="shared" si="9"/>
        <v>1</v>
      </c>
      <c r="AI43">
        <f t="shared" si="10"/>
        <v>0</v>
      </c>
      <c r="AJ43">
        <f t="shared" si="11"/>
        <v>4</v>
      </c>
      <c r="AK43">
        <f t="shared" si="12"/>
        <v>30</v>
      </c>
      <c r="AL43">
        <v>250</v>
      </c>
      <c r="AM43">
        <f t="shared" si="13"/>
        <v>7500</v>
      </c>
      <c r="AN43">
        <f t="shared" si="14"/>
        <v>1125</v>
      </c>
      <c r="AO43" s="5">
        <f t="shared" si="15"/>
        <v>6375</v>
      </c>
    </row>
    <row r="44" spans="1:41" x14ac:dyDescent="0.25">
      <c r="A44">
        <v>11</v>
      </c>
      <c r="B44" t="s">
        <v>118</v>
      </c>
      <c r="C44" t="s">
        <v>99</v>
      </c>
      <c r="D44" t="s">
        <v>98</v>
      </c>
      <c r="E44" t="s">
        <v>98</v>
      </c>
      <c r="F44" t="s">
        <v>98</v>
      </c>
      <c r="G44" t="s">
        <v>98</v>
      </c>
      <c r="H44" s="3" t="s">
        <v>97</v>
      </c>
      <c r="I44" t="s">
        <v>98</v>
      </c>
      <c r="J44" t="s">
        <v>98</v>
      </c>
      <c r="K44" t="s">
        <v>98</v>
      </c>
      <c r="L44" t="s">
        <v>98</v>
      </c>
      <c r="M44" t="s">
        <v>98</v>
      </c>
      <c r="N44" t="s">
        <v>98</v>
      </c>
      <c r="O44" t="s">
        <v>97</v>
      </c>
      <c r="P44" t="s">
        <v>98</v>
      </c>
      <c r="Q44" t="s">
        <v>98</v>
      </c>
      <c r="R44" t="s">
        <v>98</v>
      </c>
      <c r="S44" t="s">
        <v>98</v>
      </c>
      <c r="T44" t="s">
        <v>99</v>
      </c>
      <c r="U44" t="s">
        <v>98</v>
      </c>
      <c r="V44" t="s">
        <v>97</v>
      </c>
      <c r="W44" t="s">
        <v>98</v>
      </c>
      <c r="X44" t="s">
        <v>98</v>
      </c>
      <c r="Y44" t="s">
        <v>98</v>
      </c>
      <c r="Z44" t="s">
        <v>98</v>
      </c>
      <c r="AA44" t="s">
        <v>98</v>
      </c>
      <c r="AB44" t="s">
        <v>98</v>
      </c>
      <c r="AC44" t="s">
        <v>97</v>
      </c>
      <c r="AD44" t="s">
        <v>98</v>
      </c>
      <c r="AE44" t="s">
        <v>0</v>
      </c>
      <c r="AF44" t="s">
        <v>98</v>
      </c>
      <c r="AG44">
        <f t="shared" si="8"/>
        <v>23</v>
      </c>
      <c r="AH44">
        <f t="shared" si="9"/>
        <v>1</v>
      </c>
      <c r="AI44">
        <f t="shared" si="10"/>
        <v>2</v>
      </c>
      <c r="AJ44">
        <f t="shared" si="11"/>
        <v>4</v>
      </c>
      <c r="AK44">
        <f t="shared" si="12"/>
        <v>28</v>
      </c>
      <c r="AL44">
        <v>364</v>
      </c>
      <c r="AM44">
        <f t="shared" si="13"/>
        <v>10192</v>
      </c>
      <c r="AN44">
        <f t="shared" si="14"/>
        <v>1528.8</v>
      </c>
      <c r="AO44" s="5">
        <f t="shared" si="15"/>
        <v>8663.2000000000007</v>
      </c>
    </row>
    <row r="45" spans="1:41" x14ac:dyDescent="0.25">
      <c r="A45">
        <v>12</v>
      </c>
      <c r="B45" t="s">
        <v>119</v>
      </c>
      <c r="C45" t="s">
        <v>98</v>
      </c>
      <c r="D45" t="s">
        <v>98</v>
      </c>
      <c r="E45" t="s">
        <v>98</v>
      </c>
      <c r="F45" t="s">
        <v>98</v>
      </c>
      <c r="G45" t="s">
        <v>98</v>
      </c>
      <c r="H45" s="3" t="s">
        <v>97</v>
      </c>
      <c r="I45" t="s">
        <v>98</v>
      </c>
      <c r="J45" t="s">
        <v>98</v>
      </c>
      <c r="K45" t="s">
        <v>98</v>
      </c>
      <c r="L45" t="s">
        <v>98</v>
      </c>
      <c r="M45" t="s">
        <v>98</v>
      </c>
      <c r="N45" t="s">
        <v>98</v>
      </c>
      <c r="O45" t="s">
        <v>97</v>
      </c>
      <c r="P45" t="s">
        <v>98</v>
      </c>
      <c r="Q45" t="s">
        <v>0</v>
      </c>
      <c r="R45" t="s">
        <v>98</v>
      </c>
      <c r="S45" t="s">
        <v>98</v>
      </c>
      <c r="T45" t="s">
        <v>98</v>
      </c>
      <c r="U45" t="s">
        <v>98</v>
      </c>
      <c r="V45" t="s">
        <v>97</v>
      </c>
      <c r="W45" t="s">
        <v>98</v>
      </c>
      <c r="X45" t="s">
        <v>99</v>
      </c>
      <c r="Y45" t="s">
        <v>98</v>
      </c>
      <c r="Z45" t="s">
        <v>98</v>
      </c>
      <c r="AA45" t="s">
        <v>0</v>
      </c>
      <c r="AB45" t="s">
        <v>98</v>
      </c>
      <c r="AC45" t="s">
        <v>97</v>
      </c>
      <c r="AD45" t="s">
        <v>98</v>
      </c>
      <c r="AE45" t="s">
        <v>98</v>
      </c>
      <c r="AF45" t="s">
        <v>98</v>
      </c>
      <c r="AG45">
        <f t="shared" si="8"/>
        <v>23</v>
      </c>
      <c r="AH45">
        <f t="shared" si="9"/>
        <v>2</v>
      </c>
      <c r="AI45">
        <f t="shared" si="10"/>
        <v>1</v>
      </c>
      <c r="AJ45">
        <f t="shared" si="11"/>
        <v>4</v>
      </c>
      <c r="AK45">
        <f t="shared" si="12"/>
        <v>29</v>
      </c>
      <c r="AL45">
        <v>957</v>
      </c>
      <c r="AM45">
        <f t="shared" si="13"/>
        <v>27753</v>
      </c>
      <c r="AN45">
        <f t="shared" si="14"/>
        <v>4162.95</v>
      </c>
      <c r="AO45" s="5">
        <f t="shared" si="15"/>
        <v>23590.05</v>
      </c>
    </row>
    <row r="46" spans="1:41" x14ac:dyDescent="0.25">
      <c r="A46">
        <v>13</v>
      </c>
      <c r="B46" t="s">
        <v>37</v>
      </c>
      <c r="C46" t="s">
        <v>98</v>
      </c>
      <c r="D46" t="s">
        <v>98</v>
      </c>
      <c r="E46" t="s">
        <v>98</v>
      </c>
      <c r="F46" t="s">
        <v>98</v>
      </c>
      <c r="G46" t="s">
        <v>98</v>
      </c>
      <c r="H46" s="3" t="s">
        <v>97</v>
      </c>
      <c r="I46" t="s">
        <v>98</v>
      </c>
      <c r="J46" t="s">
        <v>98</v>
      </c>
      <c r="K46" t="s">
        <v>98</v>
      </c>
      <c r="L46" t="s">
        <v>98</v>
      </c>
      <c r="M46" t="s">
        <v>98</v>
      </c>
      <c r="N46" t="s">
        <v>98</v>
      </c>
      <c r="O46" t="s">
        <v>97</v>
      </c>
      <c r="P46" t="s">
        <v>98</v>
      </c>
      <c r="Q46" t="s">
        <v>98</v>
      </c>
      <c r="R46" t="s">
        <v>98</v>
      </c>
      <c r="S46" t="s">
        <v>98</v>
      </c>
      <c r="T46" t="s">
        <v>98</v>
      </c>
      <c r="U46" t="s">
        <v>98</v>
      </c>
      <c r="V46" t="s">
        <v>97</v>
      </c>
      <c r="W46" t="s">
        <v>98</v>
      </c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C46" t="s">
        <v>97</v>
      </c>
      <c r="AD46" t="s">
        <v>98</v>
      </c>
      <c r="AE46" t="s">
        <v>98</v>
      </c>
      <c r="AF46" t="s">
        <v>98</v>
      </c>
      <c r="AG46">
        <f t="shared" si="8"/>
        <v>26</v>
      </c>
      <c r="AH46">
        <f t="shared" si="9"/>
        <v>0</v>
      </c>
      <c r="AI46">
        <f t="shared" si="10"/>
        <v>0</v>
      </c>
      <c r="AJ46">
        <f t="shared" si="11"/>
        <v>4</v>
      </c>
      <c r="AK46">
        <f t="shared" si="12"/>
        <v>30</v>
      </c>
      <c r="AL46">
        <v>890</v>
      </c>
      <c r="AM46">
        <f t="shared" si="13"/>
        <v>26700</v>
      </c>
      <c r="AN46">
        <f t="shared" si="14"/>
        <v>4005</v>
      </c>
      <c r="AO46" s="5">
        <f t="shared" si="15"/>
        <v>22695</v>
      </c>
    </row>
    <row r="47" spans="1:41" x14ac:dyDescent="0.25">
      <c r="A47">
        <v>14</v>
      </c>
      <c r="B47" t="s">
        <v>42</v>
      </c>
      <c r="C47" t="s">
        <v>98</v>
      </c>
      <c r="D47" t="s">
        <v>99</v>
      </c>
      <c r="E47" t="s">
        <v>98</v>
      </c>
      <c r="F47" t="s">
        <v>98</v>
      </c>
      <c r="G47" t="s">
        <v>98</v>
      </c>
      <c r="H47" s="3" t="s">
        <v>97</v>
      </c>
      <c r="I47" t="s">
        <v>98</v>
      </c>
      <c r="J47" t="s">
        <v>98</v>
      </c>
      <c r="K47" t="s">
        <v>98</v>
      </c>
      <c r="L47" t="s">
        <v>98</v>
      </c>
      <c r="M47" t="s">
        <v>98</v>
      </c>
      <c r="N47" t="s">
        <v>98</v>
      </c>
      <c r="O47" t="s">
        <v>97</v>
      </c>
      <c r="P47" t="s">
        <v>98</v>
      </c>
      <c r="Q47" t="s">
        <v>0</v>
      </c>
      <c r="R47" t="s">
        <v>98</v>
      </c>
      <c r="S47" t="s">
        <v>98</v>
      </c>
      <c r="T47" t="s">
        <v>98</v>
      </c>
      <c r="U47" t="s">
        <v>98</v>
      </c>
      <c r="V47" t="s">
        <v>97</v>
      </c>
      <c r="W47" t="s">
        <v>98</v>
      </c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C47" t="s">
        <v>97</v>
      </c>
      <c r="AD47" t="s">
        <v>98</v>
      </c>
      <c r="AE47" t="s">
        <v>98</v>
      </c>
      <c r="AF47" t="s">
        <v>98</v>
      </c>
      <c r="AG47">
        <f t="shared" si="8"/>
        <v>24</v>
      </c>
      <c r="AH47">
        <f t="shared" si="9"/>
        <v>1</v>
      </c>
      <c r="AI47">
        <f t="shared" si="10"/>
        <v>1</v>
      </c>
      <c r="AJ47">
        <f t="shared" si="11"/>
        <v>4</v>
      </c>
      <c r="AK47">
        <f t="shared" si="12"/>
        <v>29</v>
      </c>
      <c r="AL47">
        <v>247</v>
      </c>
      <c r="AM47">
        <f t="shared" si="13"/>
        <v>7163</v>
      </c>
      <c r="AN47">
        <f t="shared" si="14"/>
        <v>1074.45</v>
      </c>
      <c r="AO47" s="5">
        <f t="shared" si="15"/>
        <v>6088.55</v>
      </c>
    </row>
    <row r="48" spans="1:41" x14ac:dyDescent="0.25">
      <c r="A48">
        <v>15</v>
      </c>
      <c r="B48" t="s">
        <v>120</v>
      </c>
      <c r="C48" t="s">
        <v>0</v>
      </c>
      <c r="D48" t="s">
        <v>98</v>
      </c>
      <c r="E48" t="s">
        <v>98</v>
      </c>
      <c r="F48" t="s">
        <v>98</v>
      </c>
      <c r="G48" t="s">
        <v>98</v>
      </c>
      <c r="H48" s="3" t="s">
        <v>97</v>
      </c>
      <c r="I48" t="s">
        <v>98</v>
      </c>
      <c r="J48" t="s">
        <v>98</v>
      </c>
      <c r="K48" t="s">
        <v>98</v>
      </c>
      <c r="L48" t="s">
        <v>98</v>
      </c>
      <c r="M48" t="s">
        <v>98</v>
      </c>
      <c r="N48" t="s">
        <v>98</v>
      </c>
      <c r="O48" t="s">
        <v>97</v>
      </c>
      <c r="P48" t="s">
        <v>98</v>
      </c>
      <c r="Q48" t="s">
        <v>98</v>
      </c>
      <c r="R48" t="s">
        <v>98</v>
      </c>
      <c r="S48" t="s">
        <v>98</v>
      </c>
      <c r="T48" t="s">
        <v>98</v>
      </c>
      <c r="U48" t="s">
        <v>98</v>
      </c>
      <c r="V48" t="s">
        <v>97</v>
      </c>
      <c r="W48" t="s">
        <v>98</v>
      </c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C48" t="s">
        <v>97</v>
      </c>
      <c r="AD48" t="s">
        <v>0</v>
      </c>
      <c r="AE48" t="s">
        <v>98</v>
      </c>
      <c r="AF48" t="s">
        <v>98</v>
      </c>
      <c r="AG48">
        <f t="shared" si="8"/>
        <v>24</v>
      </c>
      <c r="AH48">
        <f t="shared" si="9"/>
        <v>2</v>
      </c>
      <c r="AI48">
        <f t="shared" si="10"/>
        <v>0</v>
      </c>
      <c r="AJ48">
        <f t="shared" si="11"/>
        <v>4</v>
      </c>
      <c r="AK48">
        <f t="shared" si="12"/>
        <v>30</v>
      </c>
      <c r="AL48">
        <v>900</v>
      </c>
      <c r="AM48">
        <f t="shared" si="13"/>
        <v>27000</v>
      </c>
      <c r="AN48">
        <f t="shared" si="14"/>
        <v>4050</v>
      </c>
      <c r="AO48" s="5">
        <f t="shared" si="15"/>
        <v>22950</v>
      </c>
    </row>
    <row r="49" spans="1:41" x14ac:dyDescent="0.25">
      <c r="A49">
        <v>16</v>
      </c>
      <c r="B49" t="s">
        <v>121</v>
      </c>
      <c r="C49" t="s">
        <v>98</v>
      </c>
      <c r="D49" t="s">
        <v>98</v>
      </c>
      <c r="E49" t="s">
        <v>98</v>
      </c>
      <c r="F49" t="s">
        <v>98</v>
      </c>
      <c r="G49" t="s">
        <v>98</v>
      </c>
      <c r="H49" s="3" t="s">
        <v>97</v>
      </c>
      <c r="I49" t="s">
        <v>99</v>
      </c>
      <c r="J49" t="s">
        <v>0</v>
      </c>
      <c r="K49" t="s">
        <v>98</v>
      </c>
      <c r="L49" t="s">
        <v>0</v>
      </c>
      <c r="M49" t="s">
        <v>98</v>
      </c>
      <c r="N49" t="s">
        <v>98</v>
      </c>
      <c r="O49" t="s">
        <v>97</v>
      </c>
      <c r="P49" t="s">
        <v>98</v>
      </c>
      <c r="Q49" t="s">
        <v>98</v>
      </c>
      <c r="R49" t="s">
        <v>98</v>
      </c>
      <c r="S49" t="s">
        <v>98</v>
      </c>
      <c r="T49" t="s">
        <v>98</v>
      </c>
      <c r="U49" t="s">
        <v>98</v>
      </c>
      <c r="V49" t="s">
        <v>97</v>
      </c>
      <c r="W49" t="s">
        <v>98</v>
      </c>
      <c r="X49" t="s">
        <v>99</v>
      </c>
      <c r="Y49" t="s">
        <v>98</v>
      </c>
      <c r="Z49" t="s">
        <v>98</v>
      </c>
      <c r="AA49" t="s">
        <v>98</v>
      </c>
      <c r="AB49" t="s">
        <v>98</v>
      </c>
      <c r="AC49" t="s">
        <v>97</v>
      </c>
      <c r="AD49" t="s">
        <v>98</v>
      </c>
      <c r="AE49" t="s">
        <v>98</v>
      </c>
      <c r="AF49" t="s">
        <v>98</v>
      </c>
      <c r="AG49">
        <f t="shared" si="8"/>
        <v>22</v>
      </c>
      <c r="AH49">
        <f t="shared" si="9"/>
        <v>2</v>
      </c>
      <c r="AI49">
        <f t="shared" si="10"/>
        <v>2</v>
      </c>
      <c r="AJ49">
        <f t="shared" si="11"/>
        <v>4</v>
      </c>
      <c r="AK49">
        <f t="shared" si="12"/>
        <v>28</v>
      </c>
      <c r="AL49">
        <v>165</v>
      </c>
      <c r="AM49">
        <f t="shared" si="13"/>
        <v>4620</v>
      </c>
      <c r="AN49">
        <f t="shared" si="14"/>
        <v>693</v>
      </c>
      <c r="AO49" s="5">
        <f t="shared" si="15"/>
        <v>3927</v>
      </c>
    </row>
    <row r="50" spans="1:41" x14ac:dyDescent="0.25">
      <c r="A50">
        <v>17</v>
      </c>
      <c r="B50" t="s">
        <v>122</v>
      </c>
      <c r="C50" t="s">
        <v>98</v>
      </c>
      <c r="D50" t="s">
        <v>98</v>
      </c>
      <c r="E50" t="s">
        <v>98</v>
      </c>
      <c r="F50" t="s">
        <v>98</v>
      </c>
      <c r="G50" t="s">
        <v>98</v>
      </c>
      <c r="H50" s="3" t="s">
        <v>97</v>
      </c>
      <c r="I50" t="s">
        <v>98</v>
      </c>
      <c r="J50" t="s">
        <v>98</v>
      </c>
      <c r="K50" t="s">
        <v>98</v>
      </c>
      <c r="L50" t="s">
        <v>98</v>
      </c>
      <c r="M50" t="s">
        <v>98</v>
      </c>
      <c r="N50" t="s">
        <v>98</v>
      </c>
      <c r="O50" t="s">
        <v>97</v>
      </c>
      <c r="P50" t="s">
        <v>98</v>
      </c>
      <c r="Q50" t="s">
        <v>0</v>
      </c>
      <c r="R50" t="s">
        <v>98</v>
      </c>
      <c r="S50" t="s">
        <v>98</v>
      </c>
      <c r="T50" t="s">
        <v>98</v>
      </c>
      <c r="U50" t="s">
        <v>98</v>
      </c>
      <c r="V50" t="s">
        <v>97</v>
      </c>
      <c r="W50" t="s">
        <v>98</v>
      </c>
      <c r="X50" t="s">
        <v>98</v>
      </c>
      <c r="Y50" t="s">
        <v>98</v>
      </c>
      <c r="Z50" t="s">
        <v>98</v>
      </c>
      <c r="AA50" t="s">
        <v>98</v>
      </c>
      <c r="AB50" t="s">
        <v>98</v>
      </c>
      <c r="AC50" t="s">
        <v>97</v>
      </c>
      <c r="AD50" t="s">
        <v>98</v>
      </c>
      <c r="AE50" t="s">
        <v>98</v>
      </c>
      <c r="AF50" t="s">
        <v>98</v>
      </c>
      <c r="AG50">
        <f t="shared" si="8"/>
        <v>25</v>
      </c>
      <c r="AH50">
        <f t="shared" si="9"/>
        <v>1</v>
      </c>
      <c r="AI50">
        <f t="shared" si="10"/>
        <v>0</v>
      </c>
      <c r="AJ50">
        <f t="shared" si="11"/>
        <v>4</v>
      </c>
      <c r="AK50">
        <f t="shared" si="12"/>
        <v>30</v>
      </c>
      <c r="AL50">
        <v>354</v>
      </c>
      <c r="AM50">
        <f t="shared" si="13"/>
        <v>10620</v>
      </c>
      <c r="AN50">
        <f t="shared" si="14"/>
        <v>1593</v>
      </c>
      <c r="AO50" s="5">
        <f t="shared" si="15"/>
        <v>9027</v>
      </c>
    </row>
    <row r="51" spans="1:41" x14ac:dyDescent="0.25">
      <c r="A51">
        <v>18</v>
      </c>
      <c r="B51" t="s">
        <v>123</v>
      </c>
      <c r="C51" t="s">
        <v>98</v>
      </c>
      <c r="D51" t="s">
        <v>98</v>
      </c>
      <c r="E51" t="s">
        <v>0</v>
      </c>
      <c r="F51" t="s">
        <v>98</v>
      </c>
      <c r="G51" t="s">
        <v>98</v>
      </c>
      <c r="H51" s="3" t="s">
        <v>97</v>
      </c>
      <c r="I51" t="s">
        <v>98</v>
      </c>
      <c r="J51" t="s">
        <v>98</v>
      </c>
      <c r="K51" t="s">
        <v>98</v>
      </c>
      <c r="L51" t="s">
        <v>98</v>
      </c>
      <c r="M51" t="s">
        <v>98</v>
      </c>
      <c r="N51" t="s">
        <v>98</v>
      </c>
      <c r="O51" t="s">
        <v>97</v>
      </c>
      <c r="P51" t="s">
        <v>99</v>
      </c>
      <c r="Q51" t="s">
        <v>98</v>
      </c>
      <c r="R51" t="s">
        <v>98</v>
      </c>
      <c r="S51" t="s">
        <v>99</v>
      </c>
      <c r="T51" t="s">
        <v>98</v>
      </c>
      <c r="U51" t="s">
        <v>98</v>
      </c>
      <c r="V51" t="s">
        <v>97</v>
      </c>
      <c r="W51" t="s">
        <v>98</v>
      </c>
      <c r="X51" t="s">
        <v>98</v>
      </c>
      <c r="Y51" t="s">
        <v>98</v>
      </c>
      <c r="Z51" t="s">
        <v>98</v>
      </c>
      <c r="AA51" t="s">
        <v>98</v>
      </c>
      <c r="AB51" t="s">
        <v>0</v>
      </c>
      <c r="AC51" t="s">
        <v>97</v>
      </c>
      <c r="AD51" t="s">
        <v>98</v>
      </c>
      <c r="AE51" t="s">
        <v>98</v>
      </c>
      <c r="AF51" t="s">
        <v>98</v>
      </c>
      <c r="AG51">
        <f t="shared" si="8"/>
        <v>22</v>
      </c>
      <c r="AH51">
        <f t="shared" si="9"/>
        <v>2</v>
      </c>
      <c r="AI51">
        <f t="shared" si="10"/>
        <v>2</v>
      </c>
      <c r="AJ51">
        <f t="shared" si="11"/>
        <v>4</v>
      </c>
      <c r="AK51">
        <f t="shared" si="12"/>
        <v>28</v>
      </c>
      <c r="AL51">
        <v>269</v>
      </c>
      <c r="AM51">
        <f t="shared" si="13"/>
        <v>7532</v>
      </c>
      <c r="AN51">
        <f t="shared" si="14"/>
        <v>1129.8</v>
      </c>
      <c r="AO51" s="5">
        <f t="shared" si="15"/>
        <v>6402.2</v>
      </c>
    </row>
    <row r="52" spans="1:41" x14ac:dyDescent="0.25">
      <c r="A52">
        <v>19</v>
      </c>
      <c r="B52" t="s">
        <v>124</v>
      </c>
      <c r="C52" t="s">
        <v>98</v>
      </c>
      <c r="D52" t="s">
        <v>98</v>
      </c>
      <c r="E52" t="s">
        <v>98</v>
      </c>
      <c r="F52" t="s">
        <v>98</v>
      </c>
      <c r="G52" t="s">
        <v>98</v>
      </c>
      <c r="H52" s="3" t="s">
        <v>97</v>
      </c>
      <c r="I52" t="s">
        <v>98</v>
      </c>
      <c r="J52" t="s">
        <v>99</v>
      </c>
      <c r="K52" t="s">
        <v>98</v>
      </c>
      <c r="L52" t="s">
        <v>98</v>
      </c>
      <c r="M52" t="s">
        <v>98</v>
      </c>
      <c r="N52" t="s">
        <v>98</v>
      </c>
      <c r="O52" t="s">
        <v>97</v>
      </c>
      <c r="P52" t="s">
        <v>98</v>
      </c>
      <c r="Q52" t="s">
        <v>98</v>
      </c>
      <c r="R52" t="s">
        <v>98</v>
      </c>
      <c r="S52" t="s">
        <v>99</v>
      </c>
      <c r="T52" t="s">
        <v>98</v>
      </c>
      <c r="U52" t="s">
        <v>98</v>
      </c>
      <c r="V52" t="s">
        <v>97</v>
      </c>
      <c r="W52" t="s">
        <v>98</v>
      </c>
      <c r="X52" t="s">
        <v>98</v>
      </c>
      <c r="Y52" t="s">
        <v>98</v>
      </c>
      <c r="Z52" t="s">
        <v>98</v>
      </c>
      <c r="AA52" t="s">
        <v>98</v>
      </c>
      <c r="AB52" t="s">
        <v>98</v>
      </c>
      <c r="AC52" t="s">
        <v>97</v>
      </c>
      <c r="AD52" t="s">
        <v>98</v>
      </c>
      <c r="AE52" t="s">
        <v>98</v>
      </c>
      <c r="AF52" t="s">
        <v>98</v>
      </c>
      <c r="AG52">
        <f t="shared" si="8"/>
        <v>24</v>
      </c>
      <c r="AH52">
        <f t="shared" si="9"/>
        <v>0</v>
      </c>
      <c r="AI52">
        <f t="shared" si="10"/>
        <v>2</v>
      </c>
      <c r="AJ52">
        <f t="shared" si="11"/>
        <v>4</v>
      </c>
      <c r="AK52">
        <f t="shared" si="12"/>
        <v>28</v>
      </c>
      <c r="AL52">
        <v>786</v>
      </c>
      <c r="AM52">
        <f t="shared" si="13"/>
        <v>22008</v>
      </c>
      <c r="AN52">
        <f t="shared" si="14"/>
        <v>3301.2</v>
      </c>
      <c r="AO52" s="5">
        <f t="shared" si="15"/>
        <v>18706.8</v>
      </c>
    </row>
    <row r="53" spans="1:41" x14ac:dyDescent="0.25">
      <c r="A53">
        <v>20</v>
      </c>
      <c r="B53" t="s">
        <v>125</v>
      </c>
      <c r="C53" t="s">
        <v>98</v>
      </c>
      <c r="D53" t="s">
        <v>98</v>
      </c>
      <c r="E53" t="s">
        <v>98</v>
      </c>
      <c r="F53" t="s">
        <v>98</v>
      </c>
      <c r="G53" t="s">
        <v>0</v>
      </c>
      <c r="H53" s="3" t="s">
        <v>97</v>
      </c>
      <c r="I53" t="s">
        <v>0</v>
      </c>
      <c r="J53" t="s">
        <v>98</v>
      </c>
      <c r="K53" t="s">
        <v>98</v>
      </c>
      <c r="L53" t="s">
        <v>99</v>
      </c>
      <c r="M53" t="s">
        <v>98</v>
      </c>
      <c r="N53" t="s">
        <v>98</v>
      </c>
      <c r="O53" t="s">
        <v>97</v>
      </c>
      <c r="P53" t="s">
        <v>98</v>
      </c>
      <c r="Q53" t="s">
        <v>98</v>
      </c>
      <c r="R53" t="s">
        <v>98</v>
      </c>
      <c r="S53" t="s">
        <v>98</v>
      </c>
      <c r="T53" t="s">
        <v>98</v>
      </c>
      <c r="U53" t="s">
        <v>98</v>
      </c>
      <c r="V53" t="s">
        <v>97</v>
      </c>
      <c r="W53" t="s">
        <v>98</v>
      </c>
      <c r="X53" t="s">
        <v>98</v>
      </c>
      <c r="Y53" t="s">
        <v>0</v>
      </c>
      <c r="Z53" t="s">
        <v>98</v>
      </c>
      <c r="AA53" t="s">
        <v>98</v>
      </c>
      <c r="AB53" t="s">
        <v>98</v>
      </c>
      <c r="AC53" t="s">
        <v>97</v>
      </c>
      <c r="AD53" t="s">
        <v>98</v>
      </c>
      <c r="AE53" t="s">
        <v>99</v>
      </c>
      <c r="AF53" t="s">
        <v>98</v>
      </c>
      <c r="AG53">
        <f t="shared" si="8"/>
        <v>21</v>
      </c>
      <c r="AH53">
        <f t="shared" si="9"/>
        <v>3</v>
      </c>
      <c r="AI53">
        <f t="shared" si="10"/>
        <v>2</v>
      </c>
      <c r="AJ53">
        <f t="shared" si="11"/>
        <v>4</v>
      </c>
      <c r="AK53">
        <f t="shared" si="12"/>
        <v>28</v>
      </c>
      <c r="AL53">
        <v>900</v>
      </c>
      <c r="AM53">
        <f t="shared" si="13"/>
        <v>25200</v>
      </c>
      <c r="AN53">
        <f t="shared" si="14"/>
        <v>3780</v>
      </c>
      <c r="AO53" s="5">
        <f t="shared" si="15"/>
        <v>21420</v>
      </c>
    </row>
    <row r="55" spans="1:41" x14ac:dyDescent="0.25">
      <c r="A55" t="s">
        <v>9</v>
      </c>
      <c r="B55" t="s">
        <v>108</v>
      </c>
      <c r="C55" t="s">
        <v>90</v>
      </c>
      <c r="D55" t="s">
        <v>91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90</v>
      </c>
      <c r="K55" t="s">
        <v>91</v>
      </c>
      <c r="L55" t="s">
        <v>92</v>
      </c>
      <c r="M55" t="s">
        <v>93</v>
      </c>
      <c r="N55" t="s">
        <v>94</v>
      </c>
      <c r="O55" t="s">
        <v>95</v>
      </c>
      <c r="P55" t="s">
        <v>96</v>
      </c>
      <c r="Q55" t="s">
        <v>90</v>
      </c>
      <c r="R55" t="s">
        <v>91</v>
      </c>
      <c r="S55" t="s">
        <v>92</v>
      </c>
      <c r="T55" t="s">
        <v>93</v>
      </c>
      <c r="U55" t="s">
        <v>94</v>
      </c>
      <c r="V55" t="s">
        <v>95</v>
      </c>
      <c r="W55" t="s">
        <v>96</v>
      </c>
      <c r="X55" t="s">
        <v>90</v>
      </c>
      <c r="Y55" t="s">
        <v>91</v>
      </c>
      <c r="Z55" t="s">
        <v>92</v>
      </c>
      <c r="AA55" t="s">
        <v>93</v>
      </c>
      <c r="AB55" t="s">
        <v>94</v>
      </c>
      <c r="AC55" t="s">
        <v>95</v>
      </c>
      <c r="AD55" t="s">
        <v>96</v>
      </c>
      <c r="AE55" t="s">
        <v>90</v>
      </c>
      <c r="AF55" t="s">
        <v>91</v>
      </c>
      <c r="AG55" t="s">
        <v>100</v>
      </c>
      <c r="AH55" t="s">
        <v>101</v>
      </c>
      <c r="AI55" t="s">
        <v>102</v>
      </c>
      <c r="AJ55" t="s">
        <v>103</v>
      </c>
      <c r="AK55" t="s">
        <v>104</v>
      </c>
      <c r="AL55" t="s">
        <v>105</v>
      </c>
      <c r="AM55" t="s">
        <v>127</v>
      </c>
      <c r="AN55" t="s">
        <v>129</v>
      </c>
      <c r="AO55" s="6" t="s">
        <v>25</v>
      </c>
    </row>
    <row r="56" spans="1:41" x14ac:dyDescent="0.25">
      <c r="A56">
        <v>1</v>
      </c>
      <c r="B56" t="s">
        <v>116</v>
      </c>
      <c r="C56" t="s">
        <v>0</v>
      </c>
      <c r="D56" t="s">
        <v>98</v>
      </c>
      <c r="E56" t="s">
        <v>98</v>
      </c>
      <c r="F56" t="s">
        <v>98</v>
      </c>
      <c r="G56" t="s">
        <v>97</v>
      </c>
      <c r="H56" t="s">
        <v>99</v>
      </c>
      <c r="I56" t="s">
        <v>98</v>
      </c>
      <c r="J56" t="s">
        <v>98</v>
      </c>
      <c r="K56" t="s">
        <v>0</v>
      </c>
      <c r="L56" t="s">
        <v>98</v>
      </c>
      <c r="M56" t="s">
        <v>98</v>
      </c>
      <c r="N56" t="s">
        <v>97</v>
      </c>
      <c r="O56" t="s">
        <v>98</v>
      </c>
      <c r="P56" t="s">
        <v>98</v>
      </c>
      <c r="Q56" t="s">
        <v>98</v>
      </c>
      <c r="R56" t="s">
        <v>98</v>
      </c>
      <c r="S56" t="s">
        <v>99</v>
      </c>
      <c r="T56" t="s">
        <v>98</v>
      </c>
      <c r="U56" t="s">
        <v>97</v>
      </c>
      <c r="V56" t="s">
        <v>98</v>
      </c>
      <c r="W56" t="s">
        <v>98</v>
      </c>
      <c r="X56" t="s">
        <v>98</v>
      </c>
      <c r="Y56" t="s">
        <v>98</v>
      </c>
      <c r="Z56" t="s">
        <v>98</v>
      </c>
      <c r="AA56" t="s">
        <v>98</v>
      </c>
      <c r="AB56" t="s">
        <v>97</v>
      </c>
      <c r="AC56" t="s">
        <v>98</v>
      </c>
      <c r="AD56" t="s">
        <v>0</v>
      </c>
      <c r="AE56" t="s">
        <v>98</v>
      </c>
      <c r="AF56" t="s">
        <v>98</v>
      </c>
      <c r="AG56">
        <f>COUNTIF(C56:AF56,"P")</f>
        <v>21</v>
      </c>
      <c r="AH56">
        <f>COUNTIF(C56:AF56,"A")</f>
        <v>3</v>
      </c>
      <c r="AI56">
        <f>COUNTIF(C56:AF56,"L")</f>
        <v>2</v>
      </c>
      <c r="AJ56">
        <f>COUNTIF(C56:AF56,"H")</f>
        <v>4</v>
      </c>
      <c r="AK56">
        <f>AG56+AI56+AJ56</f>
        <v>27</v>
      </c>
      <c r="AL56">
        <v>560</v>
      </c>
      <c r="AM56">
        <f>AL56*AK56</f>
        <v>15120</v>
      </c>
      <c r="AN56">
        <f>AM56*20%</f>
        <v>3024</v>
      </c>
      <c r="AO56" s="6">
        <f>AM56-AN56</f>
        <v>12096</v>
      </c>
    </row>
    <row r="57" spans="1:41" x14ac:dyDescent="0.25">
      <c r="A57">
        <v>2</v>
      </c>
      <c r="B57" t="s">
        <v>117</v>
      </c>
      <c r="C57" t="s">
        <v>98</v>
      </c>
      <c r="D57" t="s">
        <v>98</v>
      </c>
      <c r="E57" t="s">
        <v>98</v>
      </c>
      <c r="F57" t="s">
        <v>98</v>
      </c>
      <c r="G57" t="s">
        <v>97</v>
      </c>
      <c r="H57" t="s">
        <v>98</v>
      </c>
      <c r="I57" t="s">
        <v>98</v>
      </c>
      <c r="J57" t="s">
        <v>98</v>
      </c>
      <c r="K57" t="s">
        <v>98</v>
      </c>
      <c r="L57" t="s">
        <v>98</v>
      </c>
      <c r="M57" t="s">
        <v>99</v>
      </c>
      <c r="N57" t="s">
        <v>97</v>
      </c>
      <c r="O57" t="s">
        <v>98</v>
      </c>
      <c r="P57" t="s">
        <v>98</v>
      </c>
      <c r="Q57" t="s">
        <v>98</v>
      </c>
      <c r="R57" t="s">
        <v>98</v>
      </c>
      <c r="S57" t="s">
        <v>98</v>
      </c>
      <c r="T57" t="s">
        <v>98</v>
      </c>
      <c r="U57" t="s">
        <v>97</v>
      </c>
      <c r="V57" t="s">
        <v>98</v>
      </c>
      <c r="W57" t="s">
        <v>98</v>
      </c>
      <c r="X57" t="s">
        <v>98</v>
      </c>
      <c r="Y57" t="s">
        <v>98</v>
      </c>
      <c r="Z57" t="s">
        <v>98</v>
      </c>
      <c r="AA57" t="s">
        <v>98</v>
      </c>
      <c r="AB57" t="s">
        <v>97</v>
      </c>
      <c r="AC57" t="s">
        <v>98</v>
      </c>
      <c r="AD57" t="s">
        <v>98</v>
      </c>
      <c r="AE57" t="s">
        <v>98</v>
      </c>
      <c r="AF57" t="s">
        <v>98</v>
      </c>
      <c r="AG57">
        <f t="shared" ref="AG57:AG75" si="16">COUNTIF(C57:AF57,"P")</f>
        <v>25</v>
      </c>
      <c r="AH57">
        <f t="shared" ref="AH57:AH75" si="17">COUNTIF(C57:AF57,"A")</f>
        <v>0</v>
      </c>
      <c r="AI57">
        <f t="shared" ref="AI57:AI75" si="18">COUNTIF(C57:AF57,"L")</f>
        <v>1</v>
      </c>
      <c r="AJ57">
        <f t="shared" ref="AJ57:AJ75" si="19">COUNTIF(C57:AF57,"H")</f>
        <v>4</v>
      </c>
      <c r="AK57">
        <f t="shared" ref="AK57:AK75" si="20">AG57+AI57+AJ57</f>
        <v>30</v>
      </c>
      <c r="AL57">
        <v>254</v>
      </c>
      <c r="AM57">
        <f t="shared" ref="AM57:AM75" si="21">AL57*AK57</f>
        <v>7620</v>
      </c>
      <c r="AN57">
        <f t="shared" ref="AN57:AN75" si="22">AM57*20%</f>
        <v>1524</v>
      </c>
      <c r="AO57" s="6">
        <f t="shared" ref="AO57:AO75" si="23">AM57-AN57</f>
        <v>6096</v>
      </c>
    </row>
    <row r="58" spans="1:41" x14ac:dyDescent="0.25">
      <c r="A58">
        <v>3</v>
      </c>
      <c r="B58" t="s">
        <v>118</v>
      </c>
      <c r="C58" t="s">
        <v>98</v>
      </c>
      <c r="D58" t="s">
        <v>98</v>
      </c>
      <c r="E58" t="s">
        <v>98</v>
      </c>
      <c r="F58" t="s">
        <v>98</v>
      </c>
      <c r="G58" t="s">
        <v>97</v>
      </c>
      <c r="H58" t="s">
        <v>98</v>
      </c>
      <c r="I58" t="s">
        <v>99</v>
      </c>
      <c r="J58" t="s">
        <v>98</v>
      </c>
      <c r="K58" t="s">
        <v>98</v>
      </c>
      <c r="L58" t="s">
        <v>98</v>
      </c>
      <c r="M58" t="s">
        <v>98</v>
      </c>
      <c r="N58" t="s">
        <v>97</v>
      </c>
      <c r="O58" t="s">
        <v>98</v>
      </c>
      <c r="P58" t="s">
        <v>0</v>
      </c>
      <c r="Q58" t="s">
        <v>98</v>
      </c>
      <c r="R58" t="s">
        <v>98</v>
      </c>
      <c r="S58" t="s">
        <v>98</v>
      </c>
      <c r="T58" t="s">
        <v>98</v>
      </c>
      <c r="U58" t="s">
        <v>97</v>
      </c>
      <c r="V58" t="s">
        <v>98</v>
      </c>
      <c r="W58" t="s">
        <v>98</v>
      </c>
      <c r="X58" t="s">
        <v>98</v>
      </c>
      <c r="Y58" t="s">
        <v>98</v>
      </c>
      <c r="Z58" t="s">
        <v>98</v>
      </c>
      <c r="AA58" t="s">
        <v>98</v>
      </c>
      <c r="AB58" t="s">
        <v>97</v>
      </c>
      <c r="AC58" t="s">
        <v>98</v>
      </c>
      <c r="AD58" t="s">
        <v>98</v>
      </c>
      <c r="AE58" t="s">
        <v>99</v>
      </c>
      <c r="AF58" t="s">
        <v>99</v>
      </c>
      <c r="AG58">
        <f t="shared" si="16"/>
        <v>22</v>
      </c>
      <c r="AH58">
        <f t="shared" si="17"/>
        <v>1</v>
      </c>
      <c r="AI58">
        <f t="shared" si="18"/>
        <v>3</v>
      </c>
      <c r="AJ58">
        <f t="shared" si="19"/>
        <v>4</v>
      </c>
      <c r="AK58">
        <f t="shared" si="20"/>
        <v>29</v>
      </c>
      <c r="AL58">
        <v>350</v>
      </c>
      <c r="AM58">
        <f t="shared" si="21"/>
        <v>10150</v>
      </c>
      <c r="AN58">
        <f t="shared" si="22"/>
        <v>2030</v>
      </c>
      <c r="AO58" s="6">
        <f t="shared" si="23"/>
        <v>8120</v>
      </c>
    </row>
    <row r="59" spans="1:41" x14ac:dyDescent="0.25">
      <c r="A59">
        <v>4</v>
      </c>
      <c r="B59" t="s">
        <v>119</v>
      </c>
      <c r="C59" t="s">
        <v>0</v>
      </c>
      <c r="D59" t="s">
        <v>98</v>
      </c>
      <c r="E59" t="s">
        <v>98</v>
      </c>
      <c r="F59" t="s">
        <v>98</v>
      </c>
      <c r="G59" t="s">
        <v>97</v>
      </c>
      <c r="H59" t="s">
        <v>98</v>
      </c>
      <c r="I59" t="s">
        <v>98</v>
      </c>
      <c r="J59" t="s">
        <v>98</v>
      </c>
      <c r="K59" t="s">
        <v>98</v>
      </c>
      <c r="L59" t="s">
        <v>98</v>
      </c>
      <c r="M59" t="s">
        <v>98</v>
      </c>
      <c r="N59" t="s">
        <v>97</v>
      </c>
      <c r="O59" t="s">
        <v>99</v>
      </c>
      <c r="P59" t="s">
        <v>98</v>
      </c>
      <c r="Q59" t="s">
        <v>98</v>
      </c>
      <c r="R59" t="s">
        <v>98</v>
      </c>
      <c r="S59" t="s">
        <v>98</v>
      </c>
      <c r="T59" t="s">
        <v>98</v>
      </c>
      <c r="U59" t="s">
        <v>97</v>
      </c>
      <c r="V59" t="s">
        <v>98</v>
      </c>
      <c r="W59" t="s">
        <v>98</v>
      </c>
      <c r="X59" t="s">
        <v>98</v>
      </c>
      <c r="Y59" t="s">
        <v>98</v>
      </c>
      <c r="Z59" t="s">
        <v>98</v>
      </c>
      <c r="AA59" t="s">
        <v>98</v>
      </c>
      <c r="AB59" t="s">
        <v>97</v>
      </c>
      <c r="AC59" t="s">
        <v>99</v>
      </c>
      <c r="AD59" t="s">
        <v>98</v>
      </c>
      <c r="AE59" t="s">
        <v>98</v>
      </c>
      <c r="AF59" t="s">
        <v>98</v>
      </c>
      <c r="AG59">
        <f t="shared" si="16"/>
        <v>23</v>
      </c>
      <c r="AH59">
        <f t="shared" si="17"/>
        <v>1</v>
      </c>
      <c r="AI59">
        <f t="shared" si="18"/>
        <v>2</v>
      </c>
      <c r="AJ59">
        <f t="shared" si="19"/>
        <v>4</v>
      </c>
      <c r="AK59">
        <f t="shared" si="20"/>
        <v>29</v>
      </c>
      <c r="AL59">
        <v>365</v>
      </c>
      <c r="AM59">
        <f t="shared" si="21"/>
        <v>10585</v>
      </c>
      <c r="AN59">
        <f t="shared" si="22"/>
        <v>2117</v>
      </c>
      <c r="AO59" s="6">
        <f t="shared" si="23"/>
        <v>8468</v>
      </c>
    </row>
    <row r="60" spans="1:41" x14ac:dyDescent="0.25">
      <c r="A60">
        <v>5</v>
      </c>
      <c r="B60" t="s">
        <v>37</v>
      </c>
      <c r="C60" t="s">
        <v>98</v>
      </c>
      <c r="D60" t="s">
        <v>0</v>
      </c>
      <c r="E60" t="s">
        <v>98</v>
      </c>
      <c r="F60" t="s">
        <v>98</v>
      </c>
      <c r="G60" t="s">
        <v>97</v>
      </c>
      <c r="H60" t="s">
        <v>98</v>
      </c>
      <c r="I60" t="s">
        <v>98</v>
      </c>
      <c r="J60" t="s">
        <v>98</v>
      </c>
      <c r="K60" t="s">
        <v>98</v>
      </c>
      <c r="L60" t="s">
        <v>98</v>
      </c>
      <c r="M60" t="s">
        <v>98</v>
      </c>
      <c r="N60" t="s">
        <v>97</v>
      </c>
      <c r="O60" t="s">
        <v>98</v>
      </c>
      <c r="P60" t="s">
        <v>98</v>
      </c>
      <c r="Q60" t="s">
        <v>98</v>
      </c>
      <c r="R60" t="s">
        <v>98</v>
      </c>
      <c r="S60" t="s">
        <v>98</v>
      </c>
      <c r="T60" t="s">
        <v>0</v>
      </c>
      <c r="U60" t="s">
        <v>97</v>
      </c>
      <c r="V60" t="s">
        <v>98</v>
      </c>
      <c r="W60" t="s">
        <v>98</v>
      </c>
      <c r="X60" t="s">
        <v>98</v>
      </c>
      <c r="Y60" t="s">
        <v>98</v>
      </c>
      <c r="Z60" t="s">
        <v>98</v>
      </c>
      <c r="AA60" t="s">
        <v>98</v>
      </c>
      <c r="AB60" t="s">
        <v>97</v>
      </c>
      <c r="AC60" t="s">
        <v>98</v>
      </c>
      <c r="AD60" t="s">
        <v>98</v>
      </c>
      <c r="AE60" t="s">
        <v>98</v>
      </c>
      <c r="AF60" t="s">
        <v>98</v>
      </c>
      <c r="AG60">
        <f t="shared" si="16"/>
        <v>24</v>
      </c>
      <c r="AH60">
        <f t="shared" si="17"/>
        <v>2</v>
      </c>
      <c r="AI60">
        <f t="shared" si="18"/>
        <v>0</v>
      </c>
      <c r="AJ60">
        <f t="shared" si="19"/>
        <v>4</v>
      </c>
      <c r="AK60">
        <f t="shared" si="20"/>
        <v>28</v>
      </c>
      <c r="AL60">
        <v>852</v>
      </c>
      <c r="AM60">
        <f t="shared" si="21"/>
        <v>23856</v>
      </c>
      <c r="AN60">
        <f t="shared" si="22"/>
        <v>4771.2</v>
      </c>
      <c r="AO60" s="6">
        <f t="shared" si="23"/>
        <v>19084.8</v>
      </c>
    </row>
    <row r="61" spans="1:41" x14ac:dyDescent="0.25">
      <c r="A61">
        <v>6</v>
      </c>
      <c r="B61" t="s">
        <v>42</v>
      </c>
      <c r="C61" t="s">
        <v>98</v>
      </c>
      <c r="D61" t="s">
        <v>98</v>
      </c>
      <c r="E61" t="s">
        <v>98</v>
      </c>
      <c r="F61" t="s">
        <v>98</v>
      </c>
      <c r="G61" t="s">
        <v>97</v>
      </c>
      <c r="H61" t="s">
        <v>98</v>
      </c>
      <c r="I61" t="s">
        <v>98</v>
      </c>
      <c r="J61" t="s">
        <v>98</v>
      </c>
      <c r="K61" t="s">
        <v>98</v>
      </c>
      <c r="L61" t="s">
        <v>98</v>
      </c>
      <c r="M61" t="s">
        <v>98</v>
      </c>
      <c r="N61" t="s">
        <v>97</v>
      </c>
      <c r="O61" t="s">
        <v>98</v>
      </c>
      <c r="P61" t="s">
        <v>98</v>
      </c>
      <c r="Q61" t="s">
        <v>99</v>
      </c>
      <c r="R61" t="s">
        <v>98</v>
      </c>
      <c r="S61" t="s">
        <v>98</v>
      </c>
      <c r="T61" t="s">
        <v>98</v>
      </c>
      <c r="U61" t="s">
        <v>97</v>
      </c>
      <c r="V61" t="s">
        <v>98</v>
      </c>
      <c r="W61" t="s">
        <v>98</v>
      </c>
      <c r="X61" t="s">
        <v>98</v>
      </c>
      <c r="Y61" t="s">
        <v>98</v>
      </c>
      <c r="Z61" t="s">
        <v>98</v>
      </c>
      <c r="AA61" t="s">
        <v>98</v>
      </c>
      <c r="AB61" t="s">
        <v>97</v>
      </c>
      <c r="AC61" t="s">
        <v>98</v>
      </c>
      <c r="AD61" t="s">
        <v>98</v>
      </c>
      <c r="AE61" t="s">
        <v>98</v>
      </c>
      <c r="AF61" t="s">
        <v>98</v>
      </c>
      <c r="AG61">
        <f t="shared" si="16"/>
        <v>25</v>
      </c>
      <c r="AH61">
        <f t="shared" si="17"/>
        <v>0</v>
      </c>
      <c r="AI61">
        <f t="shared" si="18"/>
        <v>1</v>
      </c>
      <c r="AJ61">
        <f t="shared" si="19"/>
        <v>4</v>
      </c>
      <c r="AK61">
        <f t="shared" si="20"/>
        <v>30</v>
      </c>
      <c r="AL61">
        <v>369147</v>
      </c>
      <c r="AM61">
        <f t="shared" si="21"/>
        <v>11074410</v>
      </c>
      <c r="AN61">
        <f t="shared" si="22"/>
        <v>2214882</v>
      </c>
      <c r="AO61" s="6">
        <f t="shared" si="23"/>
        <v>8859528</v>
      </c>
    </row>
    <row r="62" spans="1:41" x14ac:dyDescent="0.25">
      <c r="A62">
        <v>7</v>
      </c>
      <c r="B62" t="s">
        <v>120</v>
      </c>
      <c r="C62" t="s">
        <v>98</v>
      </c>
      <c r="D62" t="s">
        <v>98</v>
      </c>
      <c r="E62" t="s">
        <v>98</v>
      </c>
      <c r="F62" t="s">
        <v>98</v>
      </c>
      <c r="G62" t="s">
        <v>97</v>
      </c>
      <c r="H62" t="s">
        <v>98</v>
      </c>
      <c r="I62" t="s">
        <v>98</v>
      </c>
      <c r="J62" t="s">
        <v>98</v>
      </c>
      <c r="K62" t="s">
        <v>98</v>
      </c>
      <c r="L62" t="s">
        <v>98</v>
      </c>
      <c r="M62" t="s">
        <v>98</v>
      </c>
      <c r="N62" t="s">
        <v>97</v>
      </c>
      <c r="O62" t="s">
        <v>98</v>
      </c>
      <c r="P62" t="s">
        <v>98</v>
      </c>
      <c r="Q62" t="s">
        <v>98</v>
      </c>
      <c r="R62" t="s">
        <v>98</v>
      </c>
      <c r="S62" t="s">
        <v>98</v>
      </c>
      <c r="T62" t="s">
        <v>98</v>
      </c>
      <c r="U62" t="s">
        <v>97</v>
      </c>
      <c r="V62" t="s">
        <v>98</v>
      </c>
      <c r="W62" t="s">
        <v>98</v>
      </c>
      <c r="X62" t="s">
        <v>98</v>
      </c>
      <c r="Y62" t="s">
        <v>98</v>
      </c>
      <c r="Z62" t="s">
        <v>98</v>
      </c>
      <c r="AA62" t="s">
        <v>98</v>
      </c>
      <c r="AB62" t="s">
        <v>97</v>
      </c>
      <c r="AC62" t="s">
        <v>98</v>
      </c>
      <c r="AD62" t="s">
        <v>98</v>
      </c>
      <c r="AE62" t="s">
        <v>0</v>
      </c>
      <c r="AF62" t="s">
        <v>98</v>
      </c>
      <c r="AG62">
        <f t="shared" si="16"/>
        <v>25</v>
      </c>
      <c r="AH62">
        <f t="shared" si="17"/>
        <v>1</v>
      </c>
      <c r="AI62">
        <f t="shared" si="18"/>
        <v>0</v>
      </c>
      <c r="AJ62">
        <f t="shared" si="19"/>
        <v>4</v>
      </c>
      <c r="AK62">
        <f t="shared" si="20"/>
        <v>29</v>
      </c>
      <c r="AL62">
        <v>742</v>
      </c>
      <c r="AM62">
        <f t="shared" si="21"/>
        <v>21518</v>
      </c>
      <c r="AN62">
        <f t="shared" si="22"/>
        <v>4303.6000000000004</v>
      </c>
      <c r="AO62" s="6">
        <f t="shared" si="23"/>
        <v>17214.400000000001</v>
      </c>
    </row>
    <row r="63" spans="1:41" x14ac:dyDescent="0.25">
      <c r="A63">
        <v>8</v>
      </c>
      <c r="B63" t="s">
        <v>121</v>
      </c>
      <c r="C63" t="s">
        <v>98</v>
      </c>
      <c r="D63" t="s">
        <v>99</v>
      </c>
      <c r="E63" t="s">
        <v>98</v>
      </c>
      <c r="F63" t="s">
        <v>98</v>
      </c>
      <c r="G63" t="s">
        <v>97</v>
      </c>
      <c r="H63" t="s">
        <v>98</v>
      </c>
      <c r="I63" t="s">
        <v>0</v>
      </c>
      <c r="J63" t="s">
        <v>98</v>
      </c>
      <c r="K63" t="s">
        <v>98</v>
      </c>
      <c r="L63" t="s">
        <v>98</v>
      </c>
      <c r="M63" t="s">
        <v>98</v>
      </c>
      <c r="N63" t="s">
        <v>97</v>
      </c>
      <c r="O63" t="s">
        <v>98</v>
      </c>
      <c r="P63" t="s">
        <v>98</v>
      </c>
      <c r="Q63" t="s">
        <v>99</v>
      </c>
      <c r="R63" t="s">
        <v>98</v>
      </c>
      <c r="S63" t="s">
        <v>98</v>
      </c>
      <c r="T63" t="s">
        <v>0</v>
      </c>
      <c r="U63" t="s">
        <v>97</v>
      </c>
      <c r="V63" t="s">
        <v>98</v>
      </c>
      <c r="W63" t="s">
        <v>98</v>
      </c>
      <c r="X63" t="s">
        <v>98</v>
      </c>
      <c r="Y63" t="s">
        <v>98</v>
      </c>
      <c r="Z63" t="s">
        <v>98</v>
      </c>
      <c r="AA63" t="s">
        <v>98</v>
      </c>
      <c r="AB63" t="s">
        <v>97</v>
      </c>
      <c r="AC63" t="s">
        <v>98</v>
      </c>
      <c r="AD63" t="s">
        <v>98</v>
      </c>
      <c r="AE63" t="s">
        <v>98</v>
      </c>
      <c r="AF63" t="s">
        <v>98</v>
      </c>
      <c r="AG63">
        <f t="shared" si="16"/>
        <v>22</v>
      </c>
      <c r="AH63">
        <f t="shared" si="17"/>
        <v>2</v>
      </c>
      <c r="AI63">
        <f t="shared" si="18"/>
        <v>2</v>
      </c>
      <c r="AJ63">
        <f t="shared" si="19"/>
        <v>4</v>
      </c>
      <c r="AK63">
        <f t="shared" si="20"/>
        <v>28</v>
      </c>
      <c r="AL63">
        <v>159</v>
      </c>
      <c r="AM63">
        <f t="shared" si="21"/>
        <v>4452</v>
      </c>
      <c r="AN63">
        <f t="shared" si="22"/>
        <v>890.40000000000009</v>
      </c>
      <c r="AO63" s="6">
        <f t="shared" si="23"/>
        <v>3561.6</v>
      </c>
    </row>
    <row r="64" spans="1:41" x14ac:dyDescent="0.25">
      <c r="A64">
        <v>9</v>
      </c>
      <c r="B64" t="s">
        <v>122</v>
      </c>
      <c r="C64" t="s">
        <v>98</v>
      </c>
      <c r="D64" t="s">
        <v>98</v>
      </c>
      <c r="E64" t="s">
        <v>98</v>
      </c>
      <c r="F64" t="s">
        <v>99</v>
      </c>
      <c r="G64" t="s">
        <v>97</v>
      </c>
      <c r="H64" t="s">
        <v>98</v>
      </c>
      <c r="I64" t="s">
        <v>98</v>
      </c>
      <c r="J64" t="s">
        <v>99</v>
      </c>
      <c r="K64" t="s">
        <v>98</v>
      </c>
      <c r="L64" t="s">
        <v>0</v>
      </c>
      <c r="M64" t="s">
        <v>98</v>
      </c>
      <c r="N64" t="s">
        <v>97</v>
      </c>
      <c r="O64" t="s">
        <v>98</v>
      </c>
      <c r="P64" t="s">
        <v>0</v>
      </c>
      <c r="Q64" t="s">
        <v>98</v>
      </c>
      <c r="R64" t="s">
        <v>98</v>
      </c>
      <c r="S64" t="s">
        <v>98</v>
      </c>
      <c r="T64" t="s">
        <v>98</v>
      </c>
      <c r="U64" t="s">
        <v>97</v>
      </c>
      <c r="V64" t="s">
        <v>98</v>
      </c>
      <c r="W64" t="s">
        <v>98</v>
      </c>
      <c r="X64" t="s">
        <v>98</v>
      </c>
      <c r="Y64" t="s">
        <v>98</v>
      </c>
      <c r="Z64" t="s">
        <v>98</v>
      </c>
      <c r="AA64" t="s">
        <v>98</v>
      </c>
      <c r="AB64" t="s">
        <v>97</v>
      </c>
      <c r="AC64" t="s">
        <v>0</v>
      </c>
      <c r="AD64" t="s">
        <v>97</v>
      </c>
      <c r="AE64" t="s">
        <v>98</v>
      </c>
      <c r="AF64" t="s">
        <v>99</v>
      </c>
      <c r="AG64">
        <f t="shared" si="16"/>
        <v>19</v>
      </c>
      <c r="AH64">
        <f t="shared" si="17"/>
        <v>3</v>
      </c>
      <c r="AI64">
        <f t="shared" si="18"/>
        <v>3</v>
      </c>
      <c r="AJ64">
        <f t="shared" si="19"/>
        <v>5</v>
      </c>
      <c r="AK64">
        <f t="shared" si="20"/>
        <v>27</v>
      </c>
      <c r="AL64">
        <v>325</v>
      </c>
      <c r="AM64">
        <f t="shared" si="21"/>
        <v>8775</v>
      </c>
      <c r="AN64">
        <f t="shared" si="22"/>
        <v>1755</v>
      </c>
      <c r="AO64" s="6">
        <f t="shared" si="23"/>
        <v>7020</v>
      </c>
    </row>
    <row r="65" spans="1:41" x14ac:dyDescent="0.25">
      <c r="A65">
        <v>10</v>
      </c>
      <c r="B65" t="s">
        <v>123</v>
      </c>
      <c r="C65" t="s">
        <v>98</v>
      </c>
      <c r="D65" t="s">
        <v>98</v>
      </c>
      <c r="E65" t="s">
        <v>98</v>
      </c>
      <c r="F65" t="s">
        <v>0</v>
      </c>
      <c r="G65" t="s">
        <v>97</v>
      </c>
      <c r="H65" t="s">
        <v>98</v>
      </c>
      <c r="I65" t="s">
        <v>98</v>
      </c>
      <c r="J65" t="s">
        <v>98</v>
      </c>
      <c r="K65" t="s">
        <v>98</v>
      </c>
      <c r="L65" t="s">
        <v>99</v>
      </c>
      <c r="M65" t="s">
        <v>98</v>
      </c>
      <c r="N65" t="s">
        <v>97</v>
      </c>
      <c r="O65" t="s">
        <v>98</v>
      </c>
      <c r="P65" t="s">
        <v>98</v>
      </c>
      <c r="Q65" t="s">
        <v>98</v>
      </c>
      <c r="R65" t="s">
        <v>98</v>
      </c>
      <c r="S65" t="s">
        <v>0</v>
      </c>
      <c r="T65" t="s">
        <v>98</v>
      </c>
      <c r="U65" t="s">
        <v>97</v>
      </c>
      <c r="V65" t="s">
        <v>98</v>
      </c>
      <c r="W65" t="s">
        <v>98</v>
      </c>
      <c r="X65" t="s">
        <v>98</v>
      </c>
      <c r="Y65" t="s">
        <v>98</v>
      </c>
      <c r="Z65" t="s">
        <v>98</v>
      </c>
      <c r="AA65" t="s">
        <v>98</v>
      </c>
      <c r="AB65" t="s">
        <v>97</v>
      </c>
      <c r="AC65" t="s">
        <v>98</v>
      </c>
      <c r="AD65" t="s">
        <v>98</v>
      </c>
      <c r="AE65" t="s">
        <v>99</v>
      </c>
      <c r="AF65" t="s">
        <v>98</v>
      </c>
      <c r="AG65">
        <f t="shared" si="16"/>
        <v>22</v>
      </c>
      <c r="AH65">
        <f t="shared" si="17"/>
        <v>2</v>
      </c>
      <c r="AI65">
        <f t="shared" si="18"/>
        <v>2</v>
      </c>
      <c r="AJ65">
        <f t="shared" si="19"/>
        <v>4</v>
      </c>
      <c r="AK65">
        <f t="shared" si="20"/>
        <v>28</v>
      </c>
      <c r="AL65">
        <v>965</v>
      </c>
      <c r="AM65">
        <f t="shared" si="21"/>
        <v>27020</v>
      </c>
      <c r="AN65">
        <f t="shared" si="22"/>
        <v>5404</v>
      </c>
      <c r="AO65" s="6">
        <f t="shared" si="23"/>
        <v>21616</v>
      </c>
    </row>
    <row r="66" spans="1:41" x14ac:dyDescent="0.25">
      <c r="A66">
        <v>11</v>
      </c>
      <c r="B66" t="s">
        <v>124</v>
      </c>
      <c r="C66" t="s">
        <v>98</v>
      </c>
      <c r="D66" t="s">
        <v>98</v>
      </c>
      <c r="E66" t="s">
        <v>98</v>
      </c>
      <c r="F66" t="s">
        <v>98</v>
      </c>
      <c r="G66" t="s">
        <v>97</v>
      </c>
      <c r="H66" t="s">
        <v>98</v>
      </c>
      <c r="I66" t="s">
        <v>98</v>
      </c>
      <c r="J66" t="s">
        <v>98</v>
      </c>
      <c r="K66" t="s">
        <v>98</v>
      </c>
      <c r="L66" t="s">
        <v>98</v>
      </c>
      <c r="M66" t="s">
        <v>0</v>
      </c>
      <c r="N66" t="s">
        <v>97</v>
      </c>
      <c r="O66" t="s">
        <v>0</v>
      </c>
      <c r="P66" t="s">
        <v>98</v>
      </c>
      <c r="Q66" t="s">
        <v>98</v>
      </c>
      <c r="R66" t="s">
        <v>98</v>
      </c>
      <c r="S66" t="s">
        <v>98</v>
      </c>
      <c r="T66" t="s">
        <v>98</v>
      </c>
      <c r="U66" t="s">
        <v>97</v>
      </c>
      <c r="V66" t="s">
        <v>98</v>
      </c>
      <c r="W66" t="s">
        <v>98</v>
      </c>
      <c r="X66" t="s">
        <v>98</v>
      </c>
      <c r="Y66" t="s">
        <v>98</v>
      </c>
      <c r="Z66" t="s">
        <v>98</v>
      </c>
      <c r="AA66" t="s">
        <v>98</v>
      </c>
      <c r="AB66" t="s">
        <v>97</v>
      </c>
      <c r="AC66" t="s">
        <v>98</v>
      </c>
      <c r="AD66" t="s">
        <v>0</v>
      </c>
      <c r="AE66" t="s">
        <v>98</v>
      </c>
      <c r="AF66" t="s">
        <v>98</v>
      </c>
      <c r="AG66">
        <f t="shared" si="16"/>
        <v>23</v>
      </c>
      <c r="AH66">
        <f t="shared" si="17"/>
        <v>3</v>
      </c>
      <c r="AI66">
        <f t="shared" si="18"/>
        <v>0</v>
      </c>
      <c r="AJ66">
        <f t="shared" si="19"/>
        <v>4</v>
      </c>
      <c r="AK66">
        <f t="shared" si="20"/>
        <v>27</v>
      </c>
      <c r="AL66">
        <v>214</v>
      </c>
      <c r="AM66">
        <f t="shared" si="21"/>
        <v>5778</v>
      </c>
      <c r="AN66">
        <f t="shared" si="22"/>
        <v>1155.6000000000001</v>
      </c>
      <c r="AO66" s="6">
        <f t="shared" si="23"/>
        <v>4622.3999999999996</v>
      </c>
    </row>
    <row r="67" spans="1:41" x14ac:dyDescent="0.25">
      <c r="A67">
        <v>12</v>
      </c>
      <c r="B67" t="s">
        <v>125</v>
      </c>
      <c r="C67" t="s">
        <v>98</v>
      </c>
      <c r="D67" t="s">
        <v>98</v>
      </c>
      <c r="E67" t="s">
        <v>98</v>
      </c>
      <c r="F67" t="s">
        <v>98</v>
      </c>
      <c r="G67" t="s">
        <v>97</v>
      </c>
      <c r="H67" t="s">
        <v>98</v>
      </c>
      <c r="I67" t="s">
        <v>98</v>
      </c>
      <c r="J67" t="s">
        <v>98</v>
      </c>
      <c r="K67" t="s">
        <v>98</v>
      </c>
      <c r="L67" t="s">
        <v>98</v>
      </c>
      <c r="M67" t="s">
        <v>98</v>
      </c>
      <c r="N67" t="s">
        <v>97</v>
      </c>
      <c r="O67" t="s">
        <v>98</v>
      </c>
      <c r="P67" t="s">
        <v>98</v>
      </c>
      <c r="Q67" t="s">
        <v>98</v>
      </c>
      <c r="R67" t="s">
        <v>98</v>
      </c>
      <c r="S67" t="s">
        <v>98</v>
      </c>
      <c r="T67" t="s">
        <v>99</v>
      </c>
      <c r="U67" t="s">
        <v>97</v>
      </c>
      <c r="V67" t="s">
        <v>98</v>
      </c>
      <c r="W67" t="s">
        <v>98</v>
      </c>
      <c r="X67" t="s">
        <v>98</v>
      </c>
      <c r="Y67" t="s">
        <v>98</v>
      </c>
      <c r="Z67" t="s">
        <v>98</v>
      </c>
      <c r="AA67" t="s">
        <v>98</v>
      </c>
      <c r="AB67" t="s">
        <v>97</v>
      </c>
      <c r="AC67" t="s">
        <v>99</v>
      </c>
      <c r="AD67" t="s">
        <v>98</v>
      </c>
      <c r="AE67" t="s">
        <v>98</v>
      </c>
      <c r="AF67" t="s">
        <v>98</v>
      </c>
      <c r="AG67">
        <f t="shared" si="16"/>
        <v>24</v>
      </c>
      <c r="AH67">
        <f t="shared" si="17"/>
        <v>0</v>
      </c>
      <c r="AI67">
        <f t="shared" si="18"/>
        <v>2</v>
      </c>
      <c r="AJ67">
        <f t="shared" si="19"/>
        <v>4</v>
      </c>
      <c r="AK67">
        <f t="shared" si="20"/>
        <v>30</v>
      </c>
      <c r="AL67">
        <v>753</v>
      </c>
      <c r="AM67">
        <f t="shared" si="21"/>
        <v>22590</v>
      </c>
      <c r="AN67">
        <f t="shared" si="22"/>
        <v>4518</v>
      </c>
      <c r="AO67" s="6">
        <f t="shared" si="23"/>
        <v>18072</v>
      </c>
    </row>
    <row r="68" spans="1:41" x14ac:dyDescent="0.25">
      <c r="A68">
        <v>13</v>
      </c>
      <c r="B68" t="s">
        <v>26</v>
      </c>
      <c r="C68" t="s">
        <v>0</v>
      </c>
      <c r="D68" t="s">
        <v>98</v>
      </c>
      <c r="E68" t="s">
        <v>98</v>
      </c>
      <c r="F68" t="s">
        <v>98</v>
      </c>
      <c r="G68" t="s">
        <v>97</v>
      </c>
      <c r="H68" t="s">
        <v>98</v>
      </c>
      <c r="I68" t="s">
        <v>98</v>
      </c>
      <c r="J68" t="s">
        <v>98</v>
      </c>
      <c r="K68" t="s">
        <v>98</v>
      </c>
      <c r="L68" t="s">
        <v>0</v>
      </c>
      <c r="M68" t="s">
        <v>98</v>
      </c>
      <c r="N68" t="s">
        <v>97</v>
      </c>
      <c r="O68" t="s">
        <v>98</v>
      </c>
      <c r="P68" t="s">
        <v>98</v>
      </c>
      <c r="Q68" t="s">
        <v>99</v>
      </c>
      <c r="R68" t="s">
        <v>98</v>
      </c>
      <c r="S68" t="s">
        <v>98</v>
      </c>
      <c r="T68" t="s">
        <v>98</v>
      </c>
      <c r="U68" t="s">
        <v>97</v>
      </c>
      <c r="V68" t="s">
        <v>98</v>
      </c>
      <c r="W68" t="s">
        <v>98</v>
      </c>
      <c r="X68" t="s">
        <v>98</v>
      </c>
      <c r="Y68" t="s">
        <v>98</v>
      </c>
      <c r="Z68" t="s">
        <v>98</v>
      </c>
      <c r="AA68" t="s">
        <v>98</v>
      </c>
      <c r="AB68" t="s">
        <v>97</v>
      </c>
      <c r="AC68" t="s">
        <v>98</v>
      </c>
      <c r="AD68" t="s">
        <v>98</v>
      </c>
      <c r="AE68" t="s">
        <v>98</v>
      </c>
      <c r="AF68" t="s">
        <v>0</v>
      </c>
      <c r="AG68">
        <f t="shared" si="16"/>
        <v>22</v>
      </c>
      <c r="AH68">
        <f t="shared" si="17"/>
        <v>3</v>
      </c>
      <c r="AI68">
        <f t="shared" si="18"/>
        <v>1</v>
      </c>
      <c r="AJ68">
        <f t="shared" si="19"/>
        <v>4</v>
      </c>
      <c r="AK68">
        <f t="shared" si="20"/>
        <v>27</v>
      </c>
      <c r="AL68">
        <v>259</v>
      </c>
      <c r="AM68">
        <f t="shared" si="21"/>
        <v>6993</v>
      </c>
      <c r="AN68">
        <f t="shared" si="22"/>
        <v>1398.6000000000001</v>
      </c>
      <c r="AO68" s="6">
        <f t="shared" si="23"/>
        <v>5594.4</v>
      </c>
    </row>
    <row r="69" spans="1:41" x14ac:dyDescent="0.25">
      <c r="A69">
        <v>14</v>
      </c>
      <c r="B69" t="s">
        <v>27</v>
      </c>
      <c r="C69" t="s">
        <v>98</v>
      </c>
      <c r="D69" t="s">
        <v>98</v>
      </c>
      <c r="E69" t="s">
        <v>98</v>
      </c>
      <c r="F69" t="s">
        <v>98</v>
      </c>
      <c r="G69" t="s">
        <v>97</v>
      </c>
      <c r="H69" t="s">
        <v>98</v>
      </c>
      <c r="I69" t="s">
        <v>98</v>
      </c>
      <c r="J69" t="s">
        <v>98</v>
      </c>
      <c r="K69" t="s">
        <v>98</v>
      </c>
      <c r="L69" t="s">
        <v>98</v>
      </c>
      <c r="M69" t="s">
        <v>98</v>
      </c>
      <c r="N69" t="s">
        <v>97</v>
      </c>
      <c r="O69" t="s">
        <v>98</v>
      </c>
      <c r="P69" t="s">
        <v>98</v>
      </c>
      <c r="Q69" t="s">
        <v>98</v>
      </c>
      <c r="R69" t="s">
        <v>98</v>
      </c>
      <c r="S69" t="s">
        <v>0</v>
      </c>
      <c r="T69" t="s">
        <v>98</v>
      </c>
      <c r="U69" t="s">
        <v>97</v>
      </c>
      <c r="V69" t="s">
        <v>98</v>
      </c>
      <c r="W69" t="s">
        <v>98</v>
      </c>
      <c r="X69" t="s">
        <v>98</v>
      </c>
      <c r="Y69" t="s">
        <v>98</v>
      </c>
      <c r="Z69" t="s">
        <v>98</v>
      </c>
      <c r="AA69" t="s">
        <v>98</v>
      </c>
      <c r="AB69" t="s">
        <v>97</v>
      </c>
      <c r="AC69" t="s">
        <v>99</v>
      </c>
      <c r="AD69" t="s">
        <v>98</v>
      </c>
      <c r="AE69" t="s">
        <v>98</v>
      </c>
      <c r="AF69" t="s">
        <v>98</v>
      </c>
      <c r="AG69">
        <f t="shared" si="16"/>
        <v>24</v>
      </c>
      <c r="AH69">
        <f t="shared" si="17"/>
        <v>1</v>
      </c>
      <c r="AI69">
        <f t="shared" si="18"/>
        <v>1</v>
      </c>
      <c r="AJ69">
        <f t="shared" si="19"/>
        <v>4</v>
      </c>
      <c r="AK69">
        <f t="shared" si="20"/>
        <v>29</v>
      </c>
      <c r="AL69">
        <v>153</v>
      </c>
      <c r="AM69">
        <f t="shared" si="21"/>
        <v>4437</v>
      </c>
      <c r="AN69">
        <f t="shared" si="22"/>
        <v>887.40000000000009</v>
      </c>
      <c r="AO69" s="6">
        <f t="shared" si="23"/>
        <v>3549.6</v>
      </c>
    </row>
    <row r="70" spans="1:41" x14ac:dyDescent="0.25">
      <c r="A70">
        <v>15</v>
      </c>
      <c r="B70" t="s">
        <v>28</v>
      </c>
      <c r="C70" t="s">
        <v>98</v>
      </c>
      <c r="D70" t="s">
        <v>98</v>
      </c>
      <c r="E70" t="s">
        <v>0</v>
      </c>
      <c r="F70" t="s">
        <v>98</v>
      </c>
      <c r="G70" t="s">
        <v>97</v>
      </c>
      <c r="H70" t="s">
        <v>98</v>
      </c>
      <c r="I70" t="s">
        <v>98</v>
      </c>
      <c r="J70" t="s">
        <v>99</v>
      </c>
      <c r="K70" t="s">
        <v>98</v>
      </c>
      <c r="L70" t="s">
        <v>98</v>
      </c>
      <c r="M70" t="s">
        <v>98</v>
      </c>
      <c r="N70" t="s">
        <v>97</v>
      </c>
      <c r="O70" t="s">
        <v>98</v>
      </c>
      <c r="P70" t="s">
        <v>0</v>
      </c>
      <c r="Q70" t="s">
        <v>98</v>
      </c>
      <c r="R70" t="s">
        <v>99</v>
      </c>
      <c r="S70" t="s">
        <v>98</v>
      </c>
      <c r="T70" t="s">
        <v>98</v>
      </c>
      <c r="U70" t="s">
        <v>97</v>
      </c>
      <c r="V70" t="s">
        <v>98</v>
      </c>
      <c r="W70" t="s">
        <v>98</v>
      </c>
      <c r="X70" t="s">
        <v>98</v>
      </c>
      <c r="Y70" t="s">
        <v>98</v>
      </c>
      <c r="Z70" t="s">
        <v>98</v>
      </c>
      <c r="AA70" t="s">
        <v>98</v>
      </c>
      <c r="AB70" t="s">
        <v>97</v>
      </c>
      <c r="AC70" t="s">
        <v>98</v>
      </c>
      <c r="AD70" t="s">
        <v>98</v>
      </c>
      <c r="AE70" t="s">
        <v>98</v>
      </c>
      <c r="AF70" t="s">
        <v>98</v>
      </c>
      <c r="AG70">
        <f t="shared" si="16"/>
        <v>22</v>
      </c>
      <c r="AH70">
        <f t="shared" si="17"/>
        <v>2</v>
      </c>
      <c r="AI70">
        <f t="shared" si="18"/>
        <v>2</v>
      </c>
      <c r="AJ70">
        <f t="shared" si="19"/>
        <v>4</v>
      </c>
      <c r="AK70">
        <f t="shared" si="20"/>
        <v>28</v>
      </c>
      <c r="AL70">
        <v>236</v>
      </c>
      <c r="AM70">
        <f t="shared" si="21"/>
        <v>6608</v>
      </c>
      <c r="AN70">
        <f t="shared" si="22"/>
        <v>1321.6000000000001</v>
      </c>
      <c r="AO70" s="6">
        <f t="shared" si="23"/>
        <v>5286.4</v>
      </c>
    </row>
    <row r="71" spans="1:41" x14ac:dyDescent="0.25">
      <c r="A71">
        <v>16</v>
      </c>
      <c r="B71" t="s">
        <v>29</v>
      </c>
      <c r="C71" t="s">
        <v>99</v>
      </c>
      <c r="D71" t="s">
        <v>98</v>
      </c>
      <c r="E71" t="s">
        <v>98</v>
      </c>
      <c r="F71" t="s">
        <v>98</v>
      </c>
      <c r="G71" t="s">
        <v>97</v>
      </c>
      <c r="H71" t="s">
        <v>98</v>
      </c>
      <c r="I71" t="s">
        <v>98</v>
      </c>
      <c r="J71" t="s">
        <v>98</v>
      </c>
      <c r="K71" t="s">
        <v>98</v>
      </c>
      <c r="L71" t="s">
        <v>98</v>
      </c>
      <c r="M71" t="s">
        <v>98</v>
      </c>
      <c r="N71" t="s">
        <v>97</v>
      </c>
      <c r="O71" t="s">
        <v>98</v>
      </c>
      <c r="P71" t="s">
        <v>98</v>
      </c>
      <c r="Q71" t="s">
        <v>98</v>
      </c>
      <c r="R71" t="s">
        <v>98</v>
      </c>
      <c r="S71" t="s">
        <v>99</v>
      </c>
      <c r="T71" t="s">
        <v>98</v>
      </c>
      <c r="U71" t="s">
        <v>97</v>
      </c>
      <c r="V71" t="s">
        <v>98</v>
      </c>
      <c r="W71" t="s">
        <v>98</v>
      </c>
      <c r="X71" t="s">
        <v>98</v>
      </c>
      <c r="Y71" t="s">
        <v>98</v>
      </c>
      <c r="Z71" t="s">
        <v>98</v>
      </c>
      <c r="AA71" t="s">
        <v>98</v>
      </c>
      <c r="AB71" t="s">
        <v>97</v>
      </c>
      <c r="AC71" t="s">
        <v>99</v>
      </c>
      <c r="AD71" t="s">
        <v>98</v>
      </c>
      <c r="AE71" t="s">
        <v>98</v>
      </c>
      <c r="AF71" t="s">
        <v>98</v>
      </c>
      <c r="AG71">
        <f t="shared" si="16"/>
        <v>23</v>
      </c>
      <c r="AH71">
        <f t="shared" si="17"/>
        <v>0</v>
      </c>
      <c r="AI71">
        <f t="shared" si="18"/>
        <v>3</v>
      </c>
      <c r="AJ71">
        <f t="shared" si="19"/>
        <v>4</v>
      </c>
      <c r="AK71">
        <f t="shared" si="20"/>
        <v>30</v>
      </c>
      <c r="AL71">
        <v>236</v>
      </c>
      <c r="AM71">
        <f t="shared" si="21"/>
        <v>7080</v>
      </c>
      <c r="AN71">
        <f t="shared" si="22"/>
        <v>1416</v>
      </c>
      <c r="AO71" s="6">
        <f t="shared" si="23"/>
        <v>5664</v>
      </c>
    </row>
    <row r="72" spans="1:41" x14ac:dyDescent="0.25">
      <c r="A72">
        <v>17</v>
      </c>
      <c r="B72" t="s">
        <v>30</v>
      </c>
      <c r="C72" t="s">
        <v>98</v>
      </c>
      <c r="D72" t="s">
        <v>98</v>
      </c>
      <c r="E72" t="s">
        <v>98</v>
      </c>
      <c r="F72" t="s">
        <v>98</v>
      </c>
      <c r="G72" t="s">
        <v>97</v>
      </c>
      <c r="H72" t="s">
        <v>98</v>
      </c>
      <c r="I72" t="s">
        <v>98</v>
      </c>
      <c r="J72" t="s">
        <v>98</v>
      </c>
      <c r="K72" t="s">
        <v>98</v>
      </c>
      <c r="L72" t="s">
        <v>98</v>
      </c>
      <c r="M72" t="s">
        <v>98</v>
      </c>
      <c r="N72" t="s">
        <v>97</v>
      </c>
      <c r="O72" t="s">
        <v>98</v>
      </c>
      <c r="P72" t="s">
        <v>98</v>
      </c>
      <c r="Q72" t="s">
        <v>98</v>
      </c>
      <c r="R72" t="s">
        <v>98</v>
      </c>
      <c r="S72" t="s">
        <v>98</v>
      </c>
      <c r="T72" t="s">
        <v>98</v>
      </c>
      <c r="U72" t="s">
        <v>97</v>
      </c>
      <c r="V72" t="s">
        <v>98</v>
      </c>
      <c r="W72" t="s">
        <v>98</v>
      </c>
      <c r="X72" t="s">
        <v>98</v>
      </c>
      <c r="Y72" t="s">
        <v>98</v>
      </c>
      <c r="Z72" t="s">
        <v>98</v>
      </c>
      <c r="AA72" t="s">
        <v>98</v>
      </c>
      <c r="AB72" t="s">
        <v>97</v>
      </c>
      <c r="AC72" t="s">
        <v>98</v>
      </c>
      <c r="AD72" t="s">
        <v>98</v>
      </c>
      <c r="AE72" t="s">
        <v>98</v>
      </c>
      <c r="AF72" t="s">
        <v>98</v>
      </c>
      <c r="AG72">
        <f t="shared" si="16"/>
        <v>26</v>
      </c>
      <c r="AH72">
        <f t="shared" si="17"/>
        <v>0</v>
      </c>
      <c r="AI72">
        <f t="shared" si="18"/>
        <v>0</v>
      </c>
      <c r="AJ72">
        <f t="shared" si="19"/>
        <v>4</v>
      </c>
      <c r="AK72">
        <f t="shared" si="20"/>
        <v>30</v>
      </c>
      <c r="AL72">
        <v>1000</v>
      </c>
      <c r="AM72">
        <f t="shared" si="21"/>
        <v>30000</v>
      </c>
      <c r="AN72">
        <f t="shared" si="22"/>
        <v>6000</v>
      </c>
      <c r="AO72" s="6">
        <f t="shared" si="23"/>
        <v>24000</v>
      </c>
    </row>
    <row r="73" spans="1:41" x14ac:dyDescent="0.25">
      <c r="A73">
        <v>18</v>
      </c>
      <c r="B73" t="s">
        <v>31</v>
      </c>
      <c r="C73" t="s">
        <v>98</v>
      </c>
      <c r="D73" t="s">
        <v>98</v>
      </c>
      <c r="E73" t="s">
        <v>98</v>
      </c>
      <c r="F73" t="s">
        <v>98</v>
      </c>
      <c r="G73" t="s">
        <v>97</v>
      </c>
      <c r="H73" t="s">
        <v>98</v>
      </c>
      <c r="I73" t="s">
        <v>99</v>
      </c>
      <c r="J73" t="s">
        <v>98</v>
      </c>
      <c r="K73" t="s">
        <v>98</v>
      </c>
      <c r="L73" t="s">
        <v>98</v>
      </c>
      <c r="M73" t="s">
        <v>98</v>
      </c>
      <c r="N73" t="s">
        <v>97</v>
      </c>
      <c r="O73" t="s">
        <v>98</v>
      </c>
      <c r="P73" t="s">
        <v>98</v>
      </c>
      <c r="Q73" t="s">
        <v>98</v>
      </c>
      <c r="R73" t="s">
        <v>98</v>
      </c>
      <c r="S73" t="s">
        <v>98</v>
      </c>
      <c r="T73" t="s">
        <v>0</v>
      </c>
      <c r="U73" t="s">
        <v>97</v>
      </c>
      <c r="V73" t="s">
        <v>98</v>
      </c>
      <c r="W73" t="s">
        <v>98</v>
      </c>
      <c r="X73" t="s">
        <v>98</v>
      </c>
      <c r="Y73" t="s">
        <v>98</v>
      </c>
      <c r="Z73" t="s">
        <v>98</v>
      </c>
      <c r="AA73" t="s">
        <v>98</v>
      </c>
      <c r="AB73" t="s">
        <v>97</v>
      </c>
      <c r="AC73" t="s">
        <v>0</v>
      </c>
      <c r="AD73" t="s">
        <v>98</v>
      </c>
      <c r="AE73" t="s">
        <v>99</v>
      </c>
      <c r="AF73" t="s">
        <v>99</v>
      </c>
      <c r="AG73">
        <f t="shared" si="16"/>
        <v>21</v>
      </c>
      <c r="AH73">
        <f t="shared" si="17"/>
        <v>2</v>
      </c>
      <c r="AI73">
        <f t="shared" si="18"/>
        <v>3</v>
      </c>
      <c r="AJ73">
        <f t="shared" si="19"/>
        <v>4</v>
      </c>
      <c r="AK73">
        <f t="shared" si="20"/>
        <v>28</v>
      </c>
      <c r="AL73">
        <v>953</v>
      </c>
      <c r="AM73">
        <f t="shared" si="21"/>
        <v>26684</v>
      </c>
      <c r="AN73">
        <f t="shared" si="22"/>
        <v>5336.8</v>
      </c>
      <c r="AO73" s="6">
        <f t="shared" si="23"/>
        <v>21347.200000000001</v>
      </c>
    </row>
    <row r="74" spans="1:41" x14ac:dyDescent="0.25">
      <c r="A74">
        <v>19</v>
      </c>
      <c r="B74" t="s">
        <v>32</v>
      </c>
      <c r="C74" t="s">
        <v>98</v>
      </c>
      <c r="D74" t="s">
        <v>98</v>
      </c>
      <c r="E74" t="s">
        <v>98</v>
      </c>
      <c r="F74" t="s">
        <v>98</v>
      </c>
      <c r="G74" t="s">
        <v>97</v>
      </c>
      <c r="H74" t="s">
        <v>99</v>
      </c>
      <c r="I74" t="s">
        <v>98</v>
      </c>
      <c r="J74" t="s">
        <v>99</v>
      </c>
      <c r="K74" t="s">
        <v>98</v>
      </c>
      <c r="L74" t="s">
        <v>98</v>
      </c>
      <c r="M74" t="s">
        <v>98</v>
      </c>
      <c r="N74" t="s">
        <v>97</v>
      </c>
      <c r="O74" t="s">
        <v>0</v>
      </c>
      <c r="P74" t="s">
        <v>98</v>
      </c>
      <c r="Q74" t="s">
        <v>98</v>
      </c>
      <c r="R74" t="s">
        <v>98</v>
      </c>
      <c r="S74" t="s">
        <v>99</v>
      </c>
      <c r="T74" t="s">
        <v>98</v>
      </c>
      <c r="U74" t="s">
        <v>97</v>
      </c>
      <c r="V74" t="s">
        <v>98</v>
      </c>
      <c r="W74" t="s">
        <v>98</v>
      </c>
      <c r="X74" t="s">
        <v>98</v>
      </c>
      <c r="Y74" t="s">
        <v>98</v>
      </c>
      <c r="Z74" t="s">
        <v>98</v>
      </c>
      <c r="AA74" t="s">
        <v>98</v>
      </c>
      <c r="AB74" t="s">
        <v>97</v>
      </c>
      <c r="AC74" t="s">
        <v>98</v>
      </c>
      <c r="AD74" t="s">
        <v>99</v>
      </c>
      <c r="AE74" t="s">
        <v>98</v>
      </c>
      <c r="AF74" t="s">
        <v>98</v>
      </c>
      <c r="AG74">
        <f t="shared" si="16"/>
        <v>21</v>
      </c>
      <c r="AH74">
        <f t="shared" si="17"/>
        <v>1</v>
      </c>
      <c r="AI74">
        <f t="shared" si="18"/>
        <v>4</v>
      </c>
      <c r="AJ74">
        <f t="shared" si="19"/>
        <v>4</v>
      </c>
      <c r="AK74">
        <f t="shared" si="20"/>
        <v>29</v>
      </c>
      <c r="AL74">
        <v>458</v>
      </c>
      <c r="AM74">
        <f t="shared" si="21"/>
        <v>13282</v>
      </c>
      <c r="AN74">
        <f t="shared" si="22"/>
        <v>2656.4</v>
      </c>
      <c r="AO74" s="6">
        <f t="shared" si="23"/>
        <v>10625.6</v>
      </c>
    </row>
    <row r="75" spans="1:41" x14ac:dyDescent="0.25">
      <c r="A75">
        <v>20</v>
      </c>
      <c r="B75" t="s">
        <v>33</v>
      </c>
      <c r="C75" t="s">
        <v>98</v>
      </c>
      <c r="D75" t="s">
        <v>98</v>
      </c>
      <c r="E75" t="s">
        <v>98</v>
      </c>
      <c r="F75" t="s">
        <v>98</v>
      </c>
      <c r="G75" t="s">
        <v>97</v>
      </c>
      <c r="H75" t="s">
        <v>98</v>
      </c>
      <c r="I75" t="s">
        <v>98</v>
      </c>
      <c r="J75" t="s">
        <v>98</v>
      </c>
      <c r="K75" t="s">
        <v>98</v>
      </c>
      <c r="L75" t="s">
        <v>98</v>
      </c>
      <c r="M75" t="s">
        <v>98</v>
      </c>
      <c r="N75" t="s">
        <v>97</v>
      </c>
      <c r="O75" t="s">
        <v>98</v>
      </c>
      <c r="P75" t="s">
        <v>98</v>
      </c>
      <c r="Q75" t="s">
        <v>98</v>
      </c>
      <c r="R75" t="s">
        <v>98</v>
      </c>
      <c r="S75" t="s">
        <v>98</v>
      </c>
      <c r="T75" t="s">
        <v>98</v>
      </c>
      <c r="U75" t="s">
        <v>97</v>
      </c>
      <c r="V75" t="s">
        <v>98</v>
      </c>
      <c r="W75" t="s">
        <v>98</v>
      </c>
      <c r="X75" t="s">
        <v>98</v>
      </c>
      <c r="Y75" t="s">
        <v>98</v>
      </c>
      <c r="Z75" t="s">
        <v>98</v>
      </c>
      <c r="AA75" t="s">
        <v>98</v>
      </c>
      <c r="AB75" t="s">
        <v>97</v>
      </c>
      <c r="AC75" t="s">
        <v>0</v>
      </c>
      <c r="AD75" t="s">
        <v>98</v>
      </c>
      <c r="AE75" t="s">
        <v>98</v>
      </c>
      <c r="AF75" t="s">
        <v>98</v>
      </c>
      <c r="AG75">
        <f t="shared" si="16"/>
        <v>25</v>
      </c>
      <c r="AH75">
        <f t="shared" si="17"/>
        <v>1</v>
      </c>
      <c r="AI75">
        <f t="shared" si="18"/>
        <v>0</v>
      </c>
      <c r="AJ75">
        <f t="shared" si="19"/>
        <v>4</v>
      </c>
      <c r="AK75">
        <f t="shared" si="20"/>
        <v>29</v>
      </c>
      <c r="AL75">
        <v>247</v>
      </c>
      <c r="AM75">
        <f t="shared" si="21"/>
        <v>7163</v>
      </c>
      <c r="AN75">
        <f t="shared" si="22"/>
        <v>1432.6000000000001</v>
      </c>
      <c r="AO75" s="6">
        <f t="shared" si="23"/>
        <v>5730.4</v>
      </c>
    </row>
  </sheetData>
  <mergeCells count="2">
    <mergeCell ref="G2:J4"/>
    <mergeCell ref="AD1:AJ4"/>
  </mergeCells>
  <pageMargins left="0.7" right="0.7" top="0.75" bottom="0.75" header="0.3" footer="0.3"/>
  <pageSetup scale="43" orientation="portrait" r:id="rId1"/>
  <colBreaks count="1" manualBreakCount="1">
    <brk id="22" max="7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9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18" t="s">
        <v>246</v>
      </c>
      <c r="B3" t="s">
        <v>245</v>
      </c>
    </row>
    <row r="4" spans="1:2" x14ac:dyDescent="0.25">
      <c r="A4" s="19" t="s">
        <v>111</v>
      </c>
      <c r="B4" s="12">
        <v>3</v>
      </c>
    </row>
    <row r="5" spans="1:2" x14ac:dyDescent="0.25">
      <c r="A5" s="19" t="s">
        <v>109</v>
      </c>
      <c r="B5" s="12">
        <v>1</v>
      </c>
    </row>
    <row r="6" spans="1:2" x14ac:dyDescent="0.25">
      <c r="A6" s="19" t="s">
        <v>117</v>
      </c>
      <c r="B6" s="12">
        <v>10</v>
      </c>
    </row>
    <row r="7" spans="1:2" x14ac:dyDescent="0.25">
      <c r="A7" s="19" t="s">
        <v>116</v>
      </c>
      <c r="B7" s="12">
        <v>9</v>
      </c>
    </row>
    <row r="8" spans="1:2" x14ac:dyDescent="0.25">
      <c r="A8" s="19" t="s">
        <v>110</v>
      </c>
      <c r="B8" s="12">
        <v>2</v>
      </c>
    </row>
    <row r="9" spans="1:2" x14ac:dyDescent="0.25">
      <c r="A9" s="19" t="s">
        <v>143</v>
      </c>
      <c r="B9" s="12">
        <v>8</v>
      </c>
    </row>
    <row r="10" spans="1:2" x14ac:dyDescent="0.25">
      <c r="A10" s="19" t="s">
        <v>26</v>
      </c>
      <c r="B10" s="12">
        <v>5</v>
      </c>
    </row>
    <row r="11" spans="1:2" x14ac:dyDescent="0.25">
      <c r="A11" s="19" t="s">
        <v>113</v>
      </c>
      <c r="B11" s="12">
        <v>6</v>
      </c>
    </row>
    <row r="12" spans="1:2" x14ac:dyDescent="0.25">
      <c r="A12" s="19" t="s">
        <v>112</v>
      </c>
      <c r="B12" s="12">
        <v>4</v>
      </c>
    </row>
    <row r="13" spans="1:2" x14ac:dyDescent="0.25">
      <c r="A13" s="19" t="s">
        <v>114</v>
      </c>
      <c r="B13" s="12">
        <v>7</v>
      </c>
    </row>
    <row r="14" spans="1:2" x14ac:dyDescent="0.25">
      <c r="A14" s="19" t="s">
        <v>247</v>
      </c>
      <c r="B14" s="12">
        <v>55</v>
      </c>
    </row>
    <row r="28" spans="4:7" x14ac:dyDescent="0.25">
      <c r="D28" s="11"/>
      <c r="E28" s="11"/>
      <c r="F28" s="11"/>
      <c r="G28" s="11"/>
    </row>
    <row r="29" spans="4:7" x14ac:dyDescent="0.25">
      <c r="D29" s="11"/>
      <c r="E29" s="11"/>
      <c r="F29" s="11"/>
      <c r="G29" s="11"/>
    </row>
    <row r="30" spans="4:7" x14ac:dyDescent="0.25">
      <c r="D30" s="11"/>
      <c r="E30" s="11"/>
      <c r="F30" s="11"/>
      <c r="G30" s="11"/>
    </row>
    <row r="31" spans="4:7" x14ac:dyDescent="0.25">
      <c r="D31" s="11"/>
      <c r="E31" s="11"/>
      <c r="F31" s="11"/>
      <c r="G31" s="11"/>
    </row>
    <row r="32" spans="4:7" x14ac:dyDescent="0.25">
      <c r="D32" s="11"/>
      <c r="E32" s="11"/>
      <c r="F32" s="11"/>
      <c r="G32" s="11"/>
    </row>
    <row r="33" spans="4:7" x14ac:dyDescent="0.25">
      <c r="D33" s="11"/>
      <c r="E33" s="11"/>
      <c r="F33" s="11"/>
      <c r="G33" s="11"/>
    </row>
    <row r="34" spans="4:7" x14ac:dyDescent="0.25">
      <c r="D34" s="11"/>
      <c r="E34" s="11"/>
      <c r="F34" s="11"/>
      <c r="G34" s="11"/>
    </row>
    <row r="35" spans="4:7" x14ac:dyDescent="0.25">
      <c r="D35" s="11"/>
      <c r="E35" s="11"/>
      <c r="F35" s="11"/>
      <c r="G35" s="11"/>
    </row>
    <row r="36" spans="4:7" x14ac:dyDescent="0.25">
      <c r="D36" s="11"/>
      <c r="E36" s="11"/>
      <c r="F36" s="11"/>
      <c r="G36" s="11"/>
    </row>
    <row r="37" spans="4:7" x14ac:dyDescent="0.25">
      <c r="D37" s="11"/>
      <c r="E37" s="11"/>
      <c r="F37" s="11"/>
      <c r="G37" s="11"/>
    </row>
    <row r="38" spans="4:7" x14ac:dyDescent="0.25">
      <c r="D38" s="11"/>
      <c r="E38" s="11"/>
      <c r="F38" s="11"/>
      <c r="G38" s="11"/>
    </row>
    <row r="39" spans="4:7" x14ac:dyDescent="0.25">
      <c r="D39" s="11"/>
      <c r="E39" s="11"/>
      <c r="F39" s="11"/>
      <c r="G3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5"/>
  <sheetViews>
    <sheetView workbookViewId="0">
      <selection activeCell="P9" sqref="P9"/>
    </sheetView>
  </sheetViews>
  <sheetFormatPr defaultRowHeight="15" x14ac:dyDescent="0.25"/>
  <cols>
    <col min="2" max="2" width="16.5703125" customWidth="1"/>
    <col min="3" max="3" width="10" customWidth="1"/>
    <col min="7" max="7" width="15.140625" bestFit="1" customWidth="1"/>
    <col min="9" max="9" width="13.42578125" bestFit="1" customWidth="1"/>
    <col min="10" max="10" width="12.5703125" customWidth="1"/>
    <col min="11" max="11" width="10.85546875" customWidth="1"/>
    <col min="12" max="12" width="12.28515625" customWidth="1"/>
  </cols>
  <sheetData>
    <row r="2" spans="1:16" x14ac:dyDescent="0.25">
      <c r="G2" s="37" t="s">
        <v>130</v>
      </c>
      <c r="H2" s="38"/>
      <c r="I2" s="38"/>
      <c r="J2" s="38"/>
      <c r="K2" s="38"/>
      <c r="L2" s="38"/>
      <c r="M2" s="38"/>
      <c r="N2" s="38"/>
    </row>
    <row r="3" spans="1:16" x14ac:dyDescent="0.25">
      <c r="G3" s="38"/>
      <c r="H3" s="38"/>
      <c r="I3" s="38"/>
      <c r="J3" s="38"/>
      <c r="K3" s="38"/>
      <c r="L3" s="38"/>
      <c r="M3" s="38"/>
      <c r="N3" s="38"/>
    </row>
    <row r="4" spans="1:16" x14ac:dyDescent="0.25">
      <c r="G4" s="38"/>
      <c r="H4" s="38"/>
      <c r="I4" s="38"/>
      <c r="J4" s="38"/>
      <c r="K4" s="38"/>
      <c r="L4" s="38"/>
      <c r="M4" s="38"/>
      <c r="N4" s="38"/>
    </row>
    <row r="5" spans="1:16" x14ac:dyDescent="0.25">
      <c r="G5" s="38"/>
      <c r="H5" s="38"/>
      <c r="I5" s="38"/>
      <c r="J5" s="38"/>
      <c r="K5" s="38"/>
      <c r="L5" s="38"/>
      <c r="M5" s="38"/>
      <c r="N5" s="38"/>
    </row>
    <row r="8" spans="1:16" x14ac:dyDescent="0.25">
      <c r="A8" s="3" t="s">
        <v>9</v>
      </c>
      <c r="B8" s="3" t="s">
        <v>131</v>
      </c>
      <c r="C8" s="3" t="s">
        <v>132</v>
      </c>
      <c r="D8" s="3" t="s">
        <v>133</v>
      </c>
      <c r="E8" s="3" t="s">
        <v>134</v>
      </c>
      <c r="F8" s="3" t="s">
        <v>135</v>
      </c>
      <c r="G8" s="3" t="s">
        <v>137</v>
      </c>
      <c r="H8" s="3" t="s">
        <v>136</v>
      </c>
      <c r="I8" s="3" t="s">
        <v>138</v>
      </c>
      <c r="J8" s="3" t="s">
        <v>139</v>
      </c>
      <c r="K8" s="9" t="s">
        <v>140</v>
      </c>
      <c r="L8" s="9" t="s">
        <v>141</v>
      </c>
      <c r="M8" s="9" t="s">
        <v>142</v>
      </c>
      <c r="N8" s="9" t="s">
        <v>145</v>
      </c>
      <c r="O8" s="9" t="s">
        <v>144</v>
      </c>
      <c r="P8" s="9" t="s">
        <v>146</v>
      </c>
    </row>
    <row r="9" spans="1:16" x14ac:dyDescent="0.25">
      <c r="A9" s="3">
        <v>1</v>
      </c>
      <c r="B9" s="7" t="s">
        <v>109</v>
      </c>
      <c r="C9" s="8">
        <v>69</v>
      </c>
      <c r="D9" s="8">
        <v>98</v>
      </c>
      <c r="E9" s="8">
        <v>78</v>
      </c>
      <c r="F9" s="8">
        <v>87</v>
      </c>
      <c r="G9" s="8">
        <v>89</v>
      </c>
      <c r="H9" s="8">
        <v>98</v>
      </c>
      <c r="I9" s="8">
        <f>H9+G9+F9+E9+D9+C9</f>
        <v>519</v>
      </c>
      <c r="J9" s="10">
        <f>I9/600*100</f>
        <v>86.5</v>
      </c>
      <c r="K9">
        <f>MIN(C9:H9)</f>
        <v>69</v>
      </c>
      <c r="L9">
        <f>MAX(C9:H9)</f>
        <v>98</v>
      </c>
      <c r="M9">
        <f>AVERAGE(C9:H9)</f>
        <v>86.5</v>
      </c>
      <c r="N9" t="str">
        <f>IF(J9&gt;28,"PASS","FAIL")</f>
        <v>PASS</v>
      </c>
      <c r="O9" t="str">
        <f>IF(J9&gt;90,"A+",IF(J9&gt;80,"A",IF(J9&gt;70,"B+",IF(J9&gt;60,"B",IF(J9&gt;50,"C+",IF(J9&gt;40,"C","FAIL"))))))</f>
        <v>A</v>
      </c>
      <c r="P9">
        <f>RANK(J9,$J$9:$J$23,0)</f>
        <v>1</v>
      </c>
    </row>
    <row r="10" spans="1:16" x14ac:dyDescent="0.25">
      <c r="A10" s="3">
        <v>2</v>
      </c>
      <c r="B10" s="7" t="s">
        <v>110</v>
      </c>
      <c r="C10" s="8">
        <v>54</v>
      </c>
      <c r="D10" s="8">
        <v>87</v>
      </c>
      <c r="E10" s="8">
        <v>65</v>
      </c>
      <c r="F10" s="8">
        <v>68</v>
      </c>
      <c r="G10" s="8">
        <v>57</v>
      </c>
      <c r="H10" s="8">
        <v>45</v>
      </c>
      <c r="I10" s="8">
        <f t="shared" ref="I10:I23" si="0">H10+G10+F10+E10+D10+C10</f>
        <v>376</v>
      </c>
      <c r="J10" s="10">
        <f>I10/600*100</f>
        <v>62.666666666666671</v>
      </c>
      <c r="K10">
        <f>MIN(C10:H10)</f>
        <v>45</v>
      </c>
      <c r="L10">
        <f>MAX(C10:H10)</f>
        <v>87</v>
      </c>
      <c r="M10">
        <f>AVERAGE(C10:H10)</f>
        <v>62.666666666666664</v>
      </c>
      <c r="N10" t="str">
        <f>IF(J10&gt;28,"PASS","FAIL")</f>
        <v>PASS</v>
      </c>
      <c r="O10" t="str">
        <f>IF(J10&gt;90,"A+",IF(J10&gt;80,"A",IF(J10&gt;70,"B+",IF(J10&gt;60,"B",IF(J10&gt;50,"C+",IF(J10&gt;40,"C","FAIL"))))))</f>
        <v>B</v>
      </c>
      <c r="P10">
        <f>RANK(J10,$J$10:$J$23,0)</f>
        <v>5</v>
      </c>
    </row>
    <row r="11" spans="1:16" x14ac:dyDescent="0.25">
      <c r="A11" s="3">
        <v>3</v>
      </c>
      <c r="B11" s="7" t="s">
        <v>111</v>
      </c>
      <c r="C11" s="8">
        <v>74</v>
      </c>
      <c r="D11" s="8">
        <v>89</v>
      </c>
      <c r="E11" s="8">
        <v>32</v>
      </c>
      <c r="F11" s="8">
        <v>25</v>
      </c>
      <c r="G11" s="8">
        <v>62</v>
      </c>
      <c r="H11" s="8">
        <v>68</v>
      </c>
      <c r="I11" s="8">
        <f t="shared" si="0"/>
        <v>350</v>
      </c>
      <c r="J11" s="10">
        <f t="shared" ref="J11:J23" si="1">I11/600*100</f>
        <v>58.333333333333336</v>
      </c>
      <c r="K11">
        <f t="shared" ref="K11:K23" si="2">MIN(C11:H11)</f>
        <v>25</v>
      </c>
      <c r="L11">
        <f t="shared" ref="L11:L23" si="3">MAX(C11:H11)</f>
        <v>89</v>
      </c>
      <c r="M11">
        <f t="shared" ref="M11:M23" si="4">AVERAGE(C11:H11)</f>
        <v>58.333333333333336</v>
      </c>
      <c r="N11" t="str">
        <f t="shared" ref="N11:N23" si="5">IF(J11&gt;28,"PASS","FAIL")</f>
        <v>PASS</v>
      </c>
      <c r="O11" t="str">
        <f t="shared" ref="O11:O23" si="6">IF(J11&gt;90,"A+",IF(J11&gt;80,"A",IF(J11&gt;70,"B+",IF(J11&gt;60,"B",IF(J11&gt;50,"C+",IF(J11&gt;40,"C","FAIL"))))))</f>
        <v>C+</v>
      </c>
      <c r="P11">
        <f t="shared" ref="P11:P22" si="7">RANK(J11,$J$10:$J$23,0)</f>
        <v>7</v>
      </c>
    </row>
    <row r="12" spans="1:16" x14ac:dyDescent="0.25">
      <c r="A12" s="3">
        <v>4</v>
      </c>
      <c r="B12" s="7" t="s">
        <v>112</v>
      </c>
      <c r="C12" s="8">
        <v>35</v>
      </c>
      <c r="D12" s="8">
        <v>95</v>
      </c>
      <c r="E12" s="8">
        <v>78</v>
      </c>
      <c r="F12" s="8">
        <v>57</v>
      </c>
      <c r="G12" s="8">
        <v>99</v>
      </c>
      <c r="H12" s="8">
        <v>45</v>
      </c>
      <c r="I12" s="8">
        <f t="shared" si="0"/>
        <v>409</v>
      </c>
      <c r="J12" s="10">
        <f t="shared" si="1"/>
        <v>68.166666666666657</v>
      </c>
      <c r="K12">
        <f t="shared" si="2"/>
        <v>35</v>
      </c>
      <c r="L12">
        <f t="shared" si="3"/>
        <v>99</v>
      </c>
      <c r="M12">
        <f t="shared" si="4"/>
        <v>68.166666666666671</v>
      </c>
      <c r="N12" t="str">
        <f t="shared" si="5"/>
        <v>PASS</v>
      </c>
      <c r="O12" t="str">
        <f t="shared" si="6"/>
        <v>B</v>
      </c>
      <c r="P12">
        <f>RANK(J12,$J$10:$J$23,0)</f>
        <v>3</v>
      </c>
    </row>
    <row r="13" spans="1:16" x14ac:dyDescent="0.25">
      <c r="A13" s="3">
        <v>5</v>
      </c>
      <c r="B13" s="7" t="s">
        <v>26</v>
      </c>
      <c r="C13" s="8">
        <v>64</v>
      </c>
      <c r="D13" s="8">
        <v>63</v>
      </c>
      <c r="E13" s="8">
        <v>95</v>
      </c>
      <c r="F13" s="8">
        <v>69</v>
      </c>
      <c r="G13" s="8">
        <v>95</v>
      </c>
      <c r="H13" s="8">
        <v>56</v>
      </c>
      <c r="I13" s="8">
        <f t="shared" si="0"/>
        <v>442</v>
      </c>
      <c r="J13" s="10">
        <f t="shared" si="1"/>
        <v>73.666666666666671</v>
      </c>
      <c r="K13">
        <f t="shared" si="2"/>
        <v>56</v>
      </c>
      <c r="L13">
        <f>MAX(C13:H13)</f>
        <v>95</v>
      </c>
      <c r="M13">
        <f t="shared" si="4"/>
        <v>73.666666666666671</v>
      </c>
      <c r="N13" t="str">
        <f t="shared" si="5"/>
        <v>PASS</v>
      </c>
      <c r="O13" t="str">
        <f t="shared" si="6"/>
        <v>B+</v>
      </c>
      <c r="P13">
        <f>RANK(J13,$J$10:$J$23,0)</f>
        <v>2</v>
      </c>
    </row>
    <row r="14" spans="1:16" x14ac:dyDescent="0.25">
      <c r="A14" s="3">
        <v>6</v>
      </c>
      <c r="B14" s="7" t="s">
        <v>113</v>
      </c>
      <c r="C14" s="8">
        <v>56</v>
      </c>
      <c r="D14" s="8">
        <v>35</v>
      </c>
      <c r="E14" s="8">
        <v>64</v>
      </c>
      <c r="F14" s="8">
        <v>57</v>
      </c>
      <c r="G14" s="8">
        <v>24</v>
      </c>
      <c r="H14" s="8">
        <v>96</v>
      </c>
      <c r="I14" s="8">
        <f t="shared" si="0"/>
        <v>332</v>
      </c>
      <c r="J14" s="10">
        <f t="shared" si="1"/>
        <v>55.333333333333336</v>
      </c>
      <c r="K14">
        <f>MIN(C14:H14)</f>
        <v>24</v>
      </c>
      <c r="L14">
        <f t="shared" si="3"/>
        <v>96</v>
      </c>
      <c r="M14">
        <f t="shared" si="4"/>
        <v>55.333333333333336</v>
      </c>
      <c r="N14" t="str">
        <f t="shared" si="5"/>
        <v>PASS</v>
      </c>
      <c r="O14" t="str">
        <f t="shared" si="6"/>
        <v>C+</v>
      </c>
      <c r="P14">
        <f>RANK(J14,$J$10:$J$23)</f>
        <v>10</v>
      </c>
    </row>
    <row r="15" spans="1:16" x14ac:dyDescent="0.25">
      <c r="A15" s="3">
        <v>7</v>
      </c>
      <c r="B15" s="7" t="s">
        <v>114</v>
      </c>
      <c r="C15" s="8">
        <v>32</v>
      </c>
      <c r="D15" s="8">
        <v>42</v>
      </c>
      <c r="E15" s="8">
        <v>57</v>
      </c>
      <c r="F15" s="8">
        <v>35</v>
      </c>
      <c r="G15" s="8">
        <v>65</v>
      </c>
      <c r="H15" s="8">
        <v>35</v>
      </c>
      <c r="I15" s="8">
        <f t="shared" si="0"/>
        <v>266</v>
      </c>
      <c r="J15" s="10">
        <f t="shared" si="1"/>
        <v>44.333333333333336</v>
      </c>
      <c r="K15">
        <f t="shared" si="2"/>
        <v>32</v>
      </c>
      <c r="L15">
        <f t="shared" si="3"/>
        <v>65</v>
      </c>
      <c r="M15">
        <f t="shared" si="4"/>
        <v>44.333333333333336</v>
      </c>
      <c r="N15" t="str">
        <f t="shared" si="5"/>
        <v>PASS</v>
      </c>
      <c r="O15" t="str">
        <f t="shared" si="6"/>
        <v>C</v>
      </c>
      <c r="P15">
        <f t="shared" si="7"/>
        <v>12</v>
      </c>
    </row>
    <row r="16" spans="1:16" x14ac:dyDescent="0.25">
      <c r="A16" s="3">
        <v>8</v>
      </c>
      <c r="B16" s="7" t="s">
        <v>143</v>
      </c>
      <c r="C16" s="8">
        <v>21</v>
      </c>
      <c r="D16" s="8">
        <v>23</v>
      </c>
      <c r="E16" s="8">
        <v>37</v>
      </c>
      <c r="F16" s="8">
        <v>36</v>
      </c>
      <c r="G16" s="8">
        <v>96</v>
      </c>
      <c r="H16" s="8">
        <v>87</v>
      </c>
      <c r="I16" s="8">
        <v>150</v>
      </c>
      <c r="J16" s="10">
        <f t="shared" si="1"/>
        <v>25</v>
      </c>
      <c r="K16">
        <f t="shared" si="2"/>
        <v>21</v>
      </c>
      <c r="L16">
        <f t="shared" si="3"/>
        <v>96</v>
      </c>
      <c r="M16">
        <f t="shared" si="4"/>
        <v>50</v>
      </c>
      <c r="N16" t="str">
        <f t="shared" si="5"/>
        <v>FAIL</v>
      </c>
      <c r="O16" t="str">
        <f t="shared" si="6"/>
        <v>FAIL</v>
      </c>
      <c r="P16">
        <f t="shared" si="7"/>
        <v>13</v>
      </c>
    </row>
    <row r="17" spans="1:16" x14ac:dyDescent="0.25">
      <c r="A17" s="3">
        <v>9</v>
      </c>
      <c r="B17" s="7" t="s">
        <v>116</v>
      </c>
      <c r="C17" s="8">
        <v>25</v>
      </c>
      <c r="D17" s="8">
        <v>35</v>
      </c>
      <c r="E17" s="8">
        <v>59</v>
      </c>
      <c r="F17" s="8">
        <v>98</v>
      </c>
      <c r="G17" s="8">
        <v>58</v>
      </c>
      <c r="H17" s="8">
        <v>69</v>
      </c>
      <c r="I17" s="8">
        <f t="shared" si="0"/>
        <v>344</v>
      </c>
      <c r="J17" s="10">
        <f>I17/600*100</f>
        <v>57.333333333333336</v>
      </c>
      <c r="K17">
        <f t="shared" si="2"/>
        <v>25</v>
      </c>
      <c r="L17">
        <f t="shared" si="3"/>
        <v>98</v>
      </c>
      <c r="M17">
        <f t="shared" si="4"/>
        <v>57.333333333333336</v>
      </c>
      <c r="N17" t="str">
        <f t="shared" si="5"/>
        <v>PASS</v>
      </c>
      <c r="O17" t="str">
        <f t="shared" si="6"/>
        <v>C+</v>
      </c>
      <c r="P17">
        <f t="shared" si="7"/>
        <v>9</v>
      </c>
    </row>
    <row r="18" spans="1:16" x14ac:dyDescent="0.25">
      <c r="A18" s="3">
        <v>10</v>
      </c>
      <c r="B18" s="7" t="s">
        <v>117</v>
      </c>
      <c r="C18" s="8">
        <v>38</v>
      </c>
      <c r="D18" s="8">
        <v>96</v>
      </c>
      <c r="E18" s="8">
        <v>57</v>
      </c>
      <c r="F18" s="8">
        <v>68</v>
      </c>
      <c r="G18" s="8">
        <v>25</v>
      </c>
      <c r="H18" s="8">
        <v>42</v>
      </c>
      <c r="I18" s="8">
        <f t="shared" si="0"/>
        <v>326</v>
      </c>
      <c r="J18" s="10">
        <f t="shared" si="1"/>
        <v>54.333333333333336</v>
      </c>
      <c r="K18">
        <f t="shared" si="2"/>
        <v>25</v>
      </c>
      <c r="L18">
        <f t="shared" si="3"/>
        <v>96</v>
      </c>
      <c r="M18">
        <f>AVERAGE(C18:H18)</f>
        <v>54.333333333333336</v>
      </c>
      <c r="N18" t="str">
        <f t="shared" si="5"/>
        <v>PASS</v>
      </c>
      <c r="O18" t="str">
        <f t="shared" si="6"/>
        <v>C+</v>
      </c>
      <c r="P18">
        <f t="shared" si="7"/>
        <v>11</v>
      </c>
    </row>
    <row r="19" spans="1:16" x14ac:dyDescent="0.25">
      <c r="A19" s="3">
        <v>11</v>
      </c>
      <c r="B19" s="7" t="s">
        <v>118</v>
      </c>
      <c r="C19" s="8">
        <v>56</v>
      </c>
      <c r="D19" s="8">
        <v>87</v>
      </c>
      <c r="E19" s="8">
        <v>68</v>
      </c>
      <c r="F19" s="8">
        <v>77</v>
      </c>
      <c r="G19" s="8">
        <v>24</v>
      </c>
      <c r="H19" s="8">
        <v>57</v>
      </c>
      <c r="I19" s="8">
        <v>100</v>
      </c>
      <c r="J19" s="10">
        <f>I19/600*100</f>
        <v>16.666666666666664</v>
      </c>
      <c r="K19">
        <f>MIN(C19:H19)</f>
        <v>24</v>
      </c>
      <c r="L19">
        <f>MAX(C19:H19)</f>
        <v>87</v>
      </c>
      <c r="M19">
        <f t="shared" si="4"/>
        <v>61.5</v>
      </c>
      <c r="N19" t="str">
        <f t="shared" si="5"/>
        <v>FAIL</v>
      </c>
      <c r="O19" t="str">
        <f t="shared" si="6"/>
        <v>FAIL</v>
      </c>
      <c r="P19">
        <f t="shared" si="7"/>
        <v>14</v>
      </c>
    </row>
    <row r="20" spans="1:16" x14ac:dyDescent="0.25">
      <c r="A20" s="3">
        <v>12</v>
      </c>
      <c r="B20" s="7" t="s">
        <v>119</v>
      </c>
      <c r="C20" s="8">
        <v>95</v>
      </c>
      <c r="D20" s="8">
        <v>96</v>
      </c>
      <c r="E20" s="8">
        <v>53</v>
      </c>
      <c r="F20" s="8">
        <v>99</v>
      </c>
      <c r="G20" s="8">
        <v>65</v>
      </c>
      <c r="H20" s="8">
        <v>89</v>
      </c>
      <c r="I20" s="8">
        <f t="shared" si="0"/>
        <v>497</v>
      </c>
      <c r="J20" s="10">
        <f t="shared" si="1"/>
        <v>82.833333333333343</v>
      </c>
      <c r="K20">
        <f t="shared" si="2"/>
        <v>53</v>
      </c>
      <c r="L20">
        <f t="shared" si="3"/>
        <v>99</v>
      </c>
      <c r="M20">
        <f t="shared" si="4"/>
        <v>82.833333333333329</v>
      </c>
      <c r="N20" t="str">
        <f t="shared" si="5"/>
        <v>PASS</v>
      </c>
      <c r="O20" t="str">
        <f t="shared" si="6"/>
        <v>A</v>
      </c>
      <c r="P20">
        <f t="shared" si="7"/>
        <v>1</v>
      </c>
    </row>
    <row r="21" spans="1:16" x14ac:dyDescent="0.25">
      <c r="A21" s="3">
        <v>13</v>
      </c>
      <c r="B21" s="7" t="s">
        <v>37</v>
      </c>
      <c r="C21" s="8">
        <v>47</v>
      </c>
      <c r="D21" s="8">
        <v>65</v>
      </c>
      <c r="E21" s="8">
        <v>75</v>
      </c>
      <c r="F21" s="8">
        <v>45</v>
      </c>
      <c r="G21" s="8">
        <v>58</v>
      </c>
      <c r="H21" s="8">
        <v>73</v>
      </c>
      <c r="I21" s="8">
        <f t="shared" si="0"/>
        <v>363</v>
      </c>
      <c r="J21" s="10">
        <f t="shared" si="1"/>
        <v>60.5</v>
      </c>
      <c r="K21">
        <f>MIN(C21:H21)</f>
        <v>45</v>
      </c>
      <c r="L21">
        <f t="shared" si="3"/>
        <v>75</v>
      </c>
      <c r="M21">
        <f t="shared" si="4"/>
        <v>60.5</v>
      </c>
      <c r="N21" t="str">
        <f t="shared" si="5"/>
        <v>PASS</v>
      </c>
      <c r="O21" t="str">
        <f t="shared" si="6"/>
        <v>B</v>
      </c>
      <c r="P21">
        <f t="shared" si="7"/>
        <v>6</v>
      </c>
    </row>
    <row r="22" spans="1:16" x14ac:dyDescent="0.25">
      <c r="A22" s="3">
        <v>14</v>
      </c>
      <c r="B22" s="7" t="s">
        <v>42</v>
      </c>
      <c r="C22" s="8">
        <v>89</v>
      </c>
      <c r="D22" s="8">
        <v>54</v>
      </c>
      <c r="E22" s="8">
        <v>54</v>
      </c>
      <c r="F22" s="8">
        <v>65</v>
      </c>
      <c r="G22" s="8">
        <v>78</v>
      </c>
      <c r="H22" s="8">
        <v>67</v>
      </c>
      <c r="I22" s="8">
        <f t="shared" si="0"/>
        <v>407</v>
      </c>
      <c r="J22" s="10">
        <f t="shared" si="1"/>
        <v>67.833333333333329</v>
      </c>
      <c r="K22">
        <f t="shared" si="2"/>
        <v>54</v>
      </c>
      <c r="L22">
        <f t="shared" si="3"/>
        <v>89</v>
      </c>
      <c r="M22">
        <f t="shared" si="4"/>
        <v>67.833333333333329</v>
      </c>
      <c r="N22" t="str">
        <f t="shared" si="5"/>
        <v>PASS</v>
      </c>
      <c r="O22" t="str">
        <f t="shared" si="6"/>
        <v>B</v>
      </c>
      <c r="P22">
        <f t="shared" si="7"/>
        <v>4</v>
      </c>
    </row>
    <row r="23" spans="1:16" x14ac:dyDescent="0.25">
      <c r="A23" s="3">
        <v>15</v>
      </c>
      <c r="B23" s="7" t="s">
        <v>120</v>
      </c>
      <c r="C23" s="8">
        <v>35</v>
      </c>
      <c r="D23" s="8">
        <v>24</v>
      </c>
      <c r="E23" s="8">
        <v>68</v>
      </c>
      <c r="F23" s="8">
        <v>76</v>
      </c>
      <c r="G23" s="8">
        <v>59</v>
      </c>
      <c r="H23" s="8">
        <v>88</v>
      </c>
      <c r="I23" s="8">
        <f t="shared" si="0"/>
        <v>350</v>
      </c>
      <c r="J23" s="10">
        <f t="shared" si="1"/>
        <v>58.333333333333336</v>
      </c>
      <c r="K23">
        <f t="shared" si="2"/>
        <v>24</v>
      </c>
      <c r="L23">
        <f t="shared" si="3"/>
        <v>88</v>
      </c>
      <c r="M23">
        <f t="shared" si="4"/>
        <v>58.333333333333336</v>
      </c>
      <c r="N23" t="str">
        <f t="shared" si="5"/>
        <v>PASS</v>
      </c>
      <c r="O23" t="str">
        <f t="shared" si="6"/>
        <v>C+</v>
      </c>
      <c r="P23">
        <f>RANK(J23,$J$10:$J$23,0)</f>
        <v>7</v>
      </c>
    </row>
    <row r="27" spans="1:16" x14ac:dyDescent="0.25">
      <c r="A27" t="s">
        <v>9</v>
      </c>
      <c r="B27" t="s">
        <v>147</v>
      </c>
      <c r="C27" t="s">
        <v>132</v>
      </c>
      <c r="D27" t="s">
        <v>133</v>
      </c>
      <c r="E27" t="s">
        <v>134</v>
      </c>
      <c r="F27" t="s">
        <v>135</v>
      </c>
      <c r="G27" t="s">
        <v>137</v>
      </c>
      <c r="H27" t="s">
        <v>136</v>
      </c>
      <c r="I27" t="s">
        <v>138</v>
      </c>
      <c r="J27" t="s">
        <v>139</v>
      </c>
      <c r="K27" t="s">
        <v>148</v>
      </c>
      <c r="L27" t="s">
        <v>141</v>
      </c>
      <c r="M27" t="s">
        <v>142</v>
      </c>
      <c r="N27" t="s">
        <v>145</v>
      </c>
      <c r="O27" t="s">
        <v>144</v>
      </c>
      <c r="P27" t="s">
        <v>146</v>
      </c>
    </row>
    <row r="28" spans="1:16" x14ac:dyDescent="0.25">
      <c r="A28">
        <v>1</v>
      </c>
      <c r="B28" t="s">
        <v>26</v>
      </c>
      <c r="C28" s="8">
        <v>99</v>
      </c>
      <c r="D28" s="8">
        <v>32</v>
      </c>
      <c r="E28" s="8">
        <v>87</v>
      </c>
      <c r="F28" s="8">
        <v>69</v>
      </c>
      <c r="G28" s="8">
        <v>98</v>
      </c>
      <c r="H28" s="8">
        <v>58</v>
      </c>
      <c r="I28">
        <f>H28+G28+F28+E28+D28+C28</f>
        <v>443</v>
      </c>
      <c r="J28">
        <f>I28/600*100</f>
        <v>73.833333333333329</v>
      </c>
      <c r="K28">
        <f>MIN(C28:H28)</f>
        <v>32</v>
      </c>
      <c r="L28">
        <f>MAX(C28:H28)</f>
        <v>99</v>
      </c>
      <c r="M28">
        <f>AVERAGE(C28:H28)</f>
        <v>73.833333333333329</v>
      </c>
      <c r="N28" t="str">
        <f>IF(J28&gt;28,"PASS","FAIL")</f>
        <v>PASS</v>
      </c>
      <c r="O28" t="str">
        <f>IF(J28&gt;90,"A+",IF(J28&gt;80,"A",IF(J28&gt;70,"B+",IF(J28&gt;60,"B",IF(J28&gt;50,"C+",IF(J28&gt;40,"C","FAIL"))))))</f>
        <v>B+</v>
      </c>
      <c r="P28">
        <f>RANK(J28,$J$28:$J$42,0)</f>
        <v>3</v>
      </c>
    </row>
    <row r="29" spans="1:16" x14ac:dyDescent="0.25">
      <c r="A29">
        <v>2</v>
      </c>
      <c r="B29" t="s">
        <v>27</v>
      </c>
      <c r="C29" s="8">
        <v>95</v>
      </c>
      <c r="D29" s="8">
        <v>21</v>
      </c>
      <c r="E29" s="8">
        <v>68</v>
      </c>
      <c r="F29" s="8">
        <v>54</v>
      </c>
      <c r="G29" s="8">
        <v>45</v>
      </c>
      <c r="H29" s="8">
        <v>56</v>
      </c>
      <c r="I29">
        <f t="shared" ref="I29:I42" si="8">H29+G29+F29+E29+D29+C29</f>
        <v>339</v>
      </c>
      <c r="J29">
        <f t="shared" ref="J29:J42" si="9">I29/600*100</f>
        <v>56.499999999999993</v>
      </c>
      <c r="K29">
        <f t="shared" ref="K29:K42" si="10">MIN(C29:H29)</f>
        <v>21</v>
      </c>
      <c r="L29">
        <f t="shared" ref="L29:L42" si="11">MAX(C29:H29)</f>
        <v>95</v>
      </c>
      <c r="M29">
        <f t="shared" ref="M29:M42" si="12">AVERAGE(C29:H29)</f>
        <v>56.5</v>
      </c>
      <c r="N29" t="str">
        <f t="shared" ref="N29:N42" si="13">IF(J29&gt;28,"PASS","FAIL")</f>
        <v>PASS</v>
      </c>
      <c r="O29" t="str">
        <f t="shared" ref="O29:O42" si="14">IF(J29&gt;90,"A+",IF(J29&gt;80,"A",IF(J29&gt;70,"B+",IF(J29&gt;60,"B",IF(J29&gt;50,"C+",IF(J29&gt;40,"C","FAIL"))))))</f>
        <v>C+</v>
      </c>
      <c r="P29">
        <f>RANK(J29,$J$29:$J$42,0)</f>
        <v>9</v>
      </c>
    </row>
    <row r="30" spans="1:16" x14ac:dyDescent="0.25">
      <c r="A30">
        <v>3</v>
      </c>
      <c r="B30" t="s">
        <v>28</v>
      </c>
      <c r="C30" s="8">
        <v>24</v>
      </c>
      <c r="D30" s="8">
        <v>25</v>
      </c>
      <c r="E30" s="8">
        <v>25</v>
      </c>
      <c r="F30" s="8">
        <v>74</v>
      </c>
      <c r="G30" s="8">
        <v>68</v>
      </c>
      <c r="H30" s="8">
        <v>78</v>
      </c>
      <c r="I30">
        <f t="shared" si="8"/>
        <v>294</v>
      </c>
      <c r="J30">
        <f t="shared" si="9"/>
        <v>49</v>
      </c>
      <c r="K30">
        <f t="shared" si="10"/>
        <v>24</v>
      </c>
      <c r="L30">
        <f t="shared" si="11"/>
        <v>78</v>
      </c>
      <c r="M30">
        <f t="shared" si="12"/>
        <v>49</v>
      </c>
      <c r="N30" t="str">
        <f t="shared" si="13"/>
        <v>PASS</v>
      </c>
      <c r="O30" t="str">
        <f t="shared" si="14"/>
        <v>C</v>
      </c>
      <c r="P30">
        <f t="shared" ref="P30:P42" si="15">RANK(J30,$J$29:$J$42,0)</f>
        <v>11</v>
      </c>
    </row>
    <row r="31" spans="1:16" x14ac:dyDescent="0.25">
      <c r="A31">
        <v>4</v>
      </c>
      <c r="B31" t="s">
        <v>29</v>
      </c>
      <c r="C31" s="8">
        <v>65</v>
      </c>
      <c r="D31" s="8">
        <v>38</v>
      </c>
      <c r="E31" s="8">
        <v>57</v>
      </c>
      <c r="F31" s="8">
        <v>35</v>
      </c>
      <c r="G31" s="8">
        <v>45</v>
      </c>
      <c r="H31" s="8">
        <v>35</v>
      </c>
      <c r="I31">
        <f t="shared" si="8"/>
        <v>275</v>
      </c>
      <c r="J31">
        <f t="shared" si="9"/>
        <v>45.833333333333329</v>
      </c>
      <c r="K31">
        <f t="shared" si="10"/>
        <v>35</v>
      </c>
      <c r="L31">
        <f t="shared" si="11"/>
        <v>65</v>
      </c>
      <c r="M31">
        <f t="shared" si="12"/>
        <v>45.833333333333336</v>
      </c>
      <c r="N31" t="str">
        <f t="shared" si="13"/>
        <v>PASS</v>
      </c>
      <c r="O31" t="str">
        <f t="shared" si="14"/>
        <v>C</v>
      </c>
      <c r="P31">
        <f t="shared" si="15"/>
        <v>12</v>
      </c>
    </row>
    <row r="32" spans="1:16" x14ac:dyDescent="0.25">
      <c r="A32">
        <v>5</v>
      </c>
      <c r="B32" t="s">
        <v>30</v>
      </c>
      <c r="C32" s="8">
        <v>96</v>
      </c>
      <c r="D32" s="8">
        <v>56</v>
      </c>
      <c r="E32" s="8">
        <v>69</v>
      </c>
      <c r="F32" s="8">
        <v>64</v>
      </c>
      <c r="G32" s="8">
        <v>56</v>
      </c>
      <c r="H32" s="8">
        <v>68</v>
      </c>
      <c r="I32">
        <f t="shared" si="8"/>
        <v>409</v>
      </c>
      <c r="J32">
        <f t="shared" si="9"/>
        <v>68.166666666666657</v>
      </c>
      <c r="K32">
        <f t="shared" si="10"/>
        <v>56</v>
      </c>
      <c r="L32">
        <f t="shared" si="11"/>
        <v>96</v>
      </c>
      <c r="M32">
        <f t="shared" si="12"/>
        <v>68.166666666666671</v>
      </c>
      <c r="N32" t="str">
        <f t="shared" si="13"/>
        <v>PASS</v>
      </c>
      <c r="O32" t="str">
        <f t="shared" si="14"/>
        <v>B</v>
      </c>
      <c r="P32">
        <f t="shared" si="15"/>
        <v>3</v>
      </c>
    </row>
    <row r="33" spans="1:16" x14ac:dyDescent="0.25">
      <c r="A33">
        <v>6</v>
      </c>
      <c r="B33" t="s">
        <v>31</v>
      </c>
      <c r="C33" s="8">
        <v>58</v>
      </c>
      <c r="D33" s="8">
        <v>95</v>
      </c>
      <c r="E33" s="8">
        <v>57</v>
      </c>
      <c r="F33" s="8">
        <v>56</v>
      </c>
      <c r="G33" s="8">
        <v>96</v>
      </c>
      <c r="H33" s="8">
        <v>96</v>
      </c>
      <c r="I33">
        <f t="shared" si="8"/>
        <v>458</v>
      </c>
      <c r="J33">
        <f t="shared" si="9"/>
        <v>76.333333333333329</v>
      </c>
      <c r="K33">
        <f t="shared" si="10"/>
        <v>56</v>
      </c>
      <c r="L33">
        <f t="shared" si="11"/>
        <v>96</v>
      </c>
      <c r="M33">
        <f t="shared" si="12"/>
        <v>76.333333333333329</v>
      </c>
      <c r="N33" t="str">
        <f t="shared" si="13"/>
        <v>PASS</v>
      </c>
      <c r="O33" t="str">
        <f t="shared" si="14"/>
        <v>B+</v>
      </c>
      <c r="P33">
        <f t="shared" si="15"/>
        <v>1</v>
      </c>
    </row>
    <row r="34" spans="1:16" x14ac:dyDescent="0.25">
      <c r="A34">
        <v>7</v>
      </c>
      <c r="B34" t="s">
        <v>32</v>
      </c>
      <c r="C34" s="8">
        <v>25</v>
      </c>
      <c r="D34" s="8">
        <v>47</v>
      </c>
      <c r="E34" s="8">
        <v>35</v>
      </c>
      <c r="F34" s="8">
        <v>32</v>
      </c>
      <c r="G34" s="8">
        <v>35</v>
      </c>
      <c r="H34" s="8">
        <v>24</v>
      </c>
      <c r="I34">
        <f t="shared" si="8"/>
        <v>198</v>
      </c>
      <c r="J34">
        <f t="shared" si="9"/>
        <v>33</v>
      </c>
      <c r="K34">
        <f t="shared" si="10"/>
        <v>24</v>
      </c>
      <c r="L34">
        <f t="shared" si="11"/>
        <v>47</v>
      </c>
      <c r="M34">
        <f t="shared" si="12"/>
        <v>33</v>
      </c>
      <c r="N34" t="str">
        <f t="shared" si="13"/>
        <v>PASS</v>
      </c>
      <c r="O34" t="str">
        <f t="shared" si="14"/>
        <v>FAIL</v>
      </c>
      <c r="P34">
        <f t="shared" si="15"/>
        <v>13</v>
      </c>
    </row>
    <row r="35" spans="1:16" x14ac:dyDescent="0.25">
      <c r="A35">
        <v>8</v>
      </c>
      <c r="B35" t="s">
        <v>33</v>
      </c>
      <c r="C35" s="8">
        <v>24</v>
      </c>
      <c r="D35" s="8">
        <v>89</v>
      </c>
      <c r="E35" s="8">
        <v>36</v>
      </c>
      <c r="F35" s="8">
        <v>21</v>
      </c>
      <c r="G35" s="8">
        <v>87</v>
      </c>
      <c r="H35" s="8">
        <v>57</v>
      </c>
      <c r="I35">
        <v>100</v>
      </c>
      <c r="J35">
        <f t="shared" si="9"/>
        <v>16.666666666666664</v>
      </c>
      <c r="K35">
        <f t="shared" si="10"/>
        <v>21</v>
      </c>
      <c r="L35">
        <f t="shared" si="11"/>
        <v>89</v>
      </c>
      <c r="M35">
        <f t="shared" si="12"/>
        <v>52.333333333333336</v>
      </c>
      <c r="N35" t="str">
        <f t="shared" si="13"/>
        <v>FAIL</v>
      </c>
      <c r="O35" t="str">
        <f t="shared" si="14"/>
        <v>FAIL</v>
      </c>
      <c r="P35">
        <f t="shared" si="15"/>
        <v>14</v>
      </c>
    </row>
    <row r="36" spans="1:16" x14ac:dyDescent="0.25">
      <c r="A36">
        <v>9</v>
      </c>
      <c r="B36" t="s">
        <v>34</v>
      </c>
      <c r="C36" s="8">
        <v>65</v>
      </c>
      <c r="D36" s="8">
        <v>35</v>
      </c>
      <c r="E36" s="8">
        <v>98</v>
      </c>
      <c r="F36" s="8">
        <v>25</v>
      </c>
      <c r="G36" s="8">
        <v>69</v>
      </c>
      <c r="H36" s="8">
        <v>63</v>
      </c>
      <c r="I36">
        <f t="shared" si="8"/>
        <v>355</v>
      </c>
      <c r="J36">
        <f t="shared" si="9"/>
        <v>59.166666666666664</v>
      </c>
      <c r="K36">
        <f t="shared" si="10"/>
        <v>25</v>
      </c>
      <c r="L36">
        <f t="shared" si="11"/>
        <v>98</v>
      </c>
      <c r="M36">
        <f t="shared" si="12"/>
        <v>59.166666666666664</v>
      </c>
      <c r="N36" t="str">
        <f t="shared" si="13"/>
        <v>PASS</v>
      </c>
      <c r="O36" t="str">
        <f t="shared" si="14"/>
        <v>C+</v>
      </c>
      <c r="P36">
        <f t="shared" si="15"/>
        <v>7</v>
      </c>
    </row>
    <row r="37" spans="1:16" x14ac:dyDescent="0.25">
      <c r="A37">
        <v>10</v>
      </c>
      <c r="B37" t="s">
        <v>35</v>
      </c>
      <c r="C37" s="8">
        <v>58</v>
      </c>
      <c r="D37" s="8">
        <v>89</v>
      </c>
      <c r="E37" s="8">
        <v>68</v>
      </c>
      <c r="F37" s="8">
        <v>38</v>
      </c>
      <c r="G37" s="8">
        <v>42</v>
      </c>
      <c r="H37" s="8">
        <v>57</v>
      </c>
      <c r="I37">
        <f t="shared" si="8"/>
        <v>352</v>
      </c>
      <c r="J37">
        <f t="shared" si="9"/>
        <v>58.666666666666664</v>
      </c>
      <c r="K37">
        <f t="shared" si="10"/>
        <v>38</v>
      </c>
      <c r="L37">
        <f t="shared" si="11"/>
        <v>89</v>
      </c>
      <c r="M37">
        <f t="shared" si="12"/>
        <v>58.666666666666664</v>
      </c>
      <c r="N37" t="str">
        <f t="shared" si="13"/>
        <v>PASS</v>
      </c>
      <c r="O37" t="str">
        <f t="shared" si="14"/>
        <v>C+</v>
      </c>
      <c r="P37">
        <f t="shared" si="15"/>
        <v>8</v>
      </c>
    </row>
    <row r="38" spans="1:16" x14ac:dyDescent="0.25">
      <c r="A38">
        <v>11</v>
      </c>
      <c r="B38" t="s">
        <v>36</v>
      </c>
      <c r="C38" s="8">
        <v>78</v>
      </c>
      <c r="D38" s="8">
        <v>95</v>
      </c>
      <c r="E38" s="8">
        <v>45</v>
      </c>
      <c r="F38" s="8">
        <v>56</v>
      </c>
      <c r="G38" s="8">
        <v>57</v>
      </c>
      <c r="H38" s="8">
        <v>45</v>
      </c>
      <c r="I38">
        <f t="shared" si="8"/>
        <v>376</v>
      </c>
      <c r="J38">
        <f t="shared" si="9"/>
        <v>62.666666666666671</v>
      </c>
      <c r="K38">
        <f t="shared" si="10"/>
        <v>45</v>
      </c>
      <c r="L38">
        <f t="shared" si="11"/>
        <v>95</v>
      </c>
      <c r="M38">
        <f t="shared" si="12"/>
        <v>62.666666666666664</v>
      </c>
      <c r="N38" t="str">
        <f t="shared" si="13"/>
        <v>PASS</v>
      </c>
      <c r="O38" t="str">
        <f t="shared" si="14"/>
        <v>B</v>
      </c>
      <c r="P38">
        <f t="shared" si="15"/>
        <v>5</v>
      </c>
    </row>
    <row r="39" spans="1:16" x14ac:dyDescent="0.25">
      <c r="A39">
        <v>12</v>
      </c>
      <c r="B39" t="s">
        <v>37</v>
      </c>
      <c r="C39" s="8">
        <v>59</v>
      </c>
      <c r="D39" s="8">
        <v>63</v>
      </c>
      <c r="E39" s="8">
        <v>85</v>
      </c>
      <c r="F39" s="8">
        <v>95</v>
      </c>
      <c r="G39" s="8">
        <v>89</v>
      </c>
      <c r="H39" s="8">
        <v>65</v>
      </c>
      <c r="I39">
        <f t="shared" si="8"/>
        <v>456</v>
      </c>
      <c r="J39">
        <f t="shared" si="9"/>
        <v>76</v>
      </c>
      <c r="K39">
        <f t="shared" si="10"/>
        <v>59</v>
      </c>
      <c r="L39">
        <f t="shared" si="11"/>
        <v>95</v>
      </c>
      <c r="M39">
        <f t="shared" si="12"/>
        <v>76</v>
      </c>
      <c r="N39" t="str">
        <f t="shared" si="13"/>
        <v>PASS</v>
      </c>
      <c r="O39" t="str">
        <f t="shared" si="14"/>
        <v>B+</v>
      </c>
      <c r="P39">
        <f t="shared" si="15"/>
        <v>2</v>
      </c>
    </row>
    <row r="40" spans="1:16" x14ac:dyDescent="0.25">
      <c r="A40">
        <v>13</v>
      </c>
      <c r="B40" t="s">
        <v>38</v>
      </c>
      <c r="C40" s="8">
        <v>56</v>
      </c>
      <c r="D40" s="8">
        <v>35</v>
      </c>
      <c r="E40" s="8">
        <v>35</v>
      </c>
      <c r="F40" s="8">
        <v>47</v>
      </c>
      <c r="G40" s="8">
        <v>73</v>
      </c>
      <c r="H40" s="8">
        <v>68</v>
      </c>
      <c r="I40">
        <f t="shared" si="8"/>
        <v>314</v>
      </c>
      <c r="J40">
        <f t="shared" si="9"/>
        <v>52.333333333333329</v>
      </c>
      <c r="K40">
        <f t="shared" si="10"/>
        <v>35</v>
      </c>
      <c r="L40">
        <f t="shared" si="11"/>
        <v>73</v>
      </c>
      <c r="M40">
        <f t="shared" si="12"/>
        <v>52.333333333333336</v>
      </c>
      <c r="N40" t="str">
        <f t="shared" si="13"/>
        <v>PASS</v>
      </c>
      <c r="O40" t="str">
        <f t="shared" si="14"/>
        <v>C+</v>
      </c>
      <c r="P40">
        <f t="shared" si="15"/>
        <v>10</v>
      </c>
    </row>
    <row r="41" spans="1:16" x14ac:dyDescent="0.25">
      <c r="A41">
        <v>14</v>
      </c>
      <c r="B41" t="s">
        <v>39</v>
      </c>
      <c r="C41" s="8">
        <v>75</v>
      </c>
      <c r="D41" s="8">
        <v>42</v>
      </c>
      <c r="E41" s="8">
        <v>75</v>
      </c>
      <c r="F41" s="8">
        <v>89</v>
      </c>
      <c r="G41" s="8">
        <v>67</v>
      </c>
      <c r="H41" s="8">
        <v>23</v>
      </c>
      <c r="I41">
        <f t="shared" si="8"/>
        <v>371</v>
      </c>
      <c r="J41">
        <f t="shared" si="9"/>
        <v>61.833333333333329</v>
      </c>
      <c r="K41">
        <f t="shared" si="10"/>
        <v>23</v>
      </c>
      <c r="L41">
        <f t="shared" si="11"/>
        <v>89</v>
      </c>
      <c r="M41">
        <f t="shared" si="12"/>
        <v>61.833333333333336</v>
      </c>
      <c r="N41" t="str">
        <f t="shared" si="13"/>
        <v>PASS</v>
      </c>
      <c r="O41" t="str">
        <f t="shared" si="14"/>
        <v>B</v>
      </c>
      <c r="P41">
        <f t="shared" si="15"/>
        <v>6</v>
      </c>
    </row>
    <row r="42" spans="1:16" x14ac:dyDescent="0.25">
      <c r="A42">
        <v>15</v>
      </c>
      <c r="B42" t="s">
        <v>40</v>
      </c>
      <c r="C42" s="8">
        <v>99</v>
      </c>
      <c r="D42" s="8">
        <v>23</v>
      </c>
      <c r="E42" s="8">
        <v>65</v>
      </c>
      <c r="F42" s="8">
        <v>35</v>
      </c>
      <c r="G42" s="8">
        <v>88</v>
      </c>
      <c r="H42" s="8">
        <v>78</v>
      </c>
      <c r="I42">
        <f t="shared" si="8"/>
        <v>388</v>
      </c>
      <c r="J42">
        <f t="shared" si="9"/>
        <v>64.666666666666657</v>
      </c>
      <c r="K42">
        <f t="shared" si="10"/>
        <v>23</v>
      </c>
      <c r="L42">
        <f t="shared" si="11"/>
        <v>99</v>
      </c>
      <c r="M42">
        <f t="shared" si="12"/>
        <v>64.666666666666671</v>
      </c>
      <c r="N42" t="str">
        <f t="shared" si="13"/>
        <v>PASS</v>
      </c>
      <c r="O42" t="str">
        <f t="shared" si="14"/>
        <v>B</v>
      </c>
      <c r="P42">
        <f t="shared" si="15"/>
        <v>4</v>
      </c>
    </row>
    <row r="43" spans="1:16" x14ac:dyDescent="0.25">
      <c r="D43" s="11"/>
    </row>
    <row r="44" spans="1:16" x14ac:dyDescent="0.25">
      <c r="D44" s="11"/>
    </row>
    <row r="45" spans="1:16" x14ac:dyDescent="0.25">
      <c r="D45" s="11"/>
    </row>
  </sheetData>
  <mergeCells count="1">
    <mergeCell ref="G2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61"/>
  <sheetViews>
    <sheetView workbookViewId="0">
      <selection activeCell="H28" sqref="H28"/>
    </sheetView>
  </sheetViews>
  <sheetFormatPr defaultRowHeight="15" x14ac:dyDescent="0.25"/>
  <cols>
    <col min="1" max="1" width="13.140625" customWidth="1"/>
    <col min="2" max="2" width="12.85546875" customWidth="1"/>
    <col min="3" max="3" width="14.42578125" customWidth="1"/>
    <col min="9" max="9" width="19.28515625" bestFit="1" customWidth="1"/>
    <col min="10" max="10" width="12.85546875" bestFit="1" customWidth="1"/>
    <col min="11" max="11" width="16.140625" bestFit="1" customWidth="1"/>
    <col min="16" max="16" width="13.140625" bestFit="1" customWidth="1"/>
    <col min="17" max="17" width="12.85546875" bestFit="1" customWidth="1"/>
    <col min="18" max="18" width="14.42578125" bestFit="1" customWidth="1"/>
  </cols>
  <sheetData>
    <row r="3" spans="1:18" x14ac:dyDescent="0.25">
      <c r="A3" s="18" t="s">
        <v>246</v>
      </c>
      <c r="B3" t="s">
        <v>245</v>
      </c>
      <c r="C3" t="s">
        <v>248</v>
      </c>
      <c r="D3" s="20"/>
      <c r="E3" s="20"/>
      <c r="F3" s="20"/>
      <c r="G3" s="20"/>
      <c r="H3" s="20"/>
      <c r="I3" s="20"/>
      <c r="J3" s="20"/>
      <c r="K3" s="20"/>
      <c r="L3" s="20"/>
    </row>
    <row r="4" spans="1:18" x14ac:dyDescent="0.25">
      <c r="A4" s="19" t="s">
        <v>182</v>
      </c>
      <c r="B4" s="12">
        <v>10</v>
      </c>
      <c r="C4" s="12">
        <v>5283</v>
      </c>
      <c r="D4" s="20"/>
      <c r="E4" s="20"/>
      <c r="F4" s="20"/>
      <c r="G4" s="20"/>
      <c r="H4" s="20"/>
      <c r="I4" s="20"/>
      <c r="J4" s="20"/>
      <c r="K4" s="20"/>
      <c r="L4" s="20"/>
    </row>
    <row r="5" spans="1:18" x14ac:dyDescent="0.25">
      <c r="A5" s="19" t="s">
        <v>181</v>
      </c>
      <c r="B5" s="12">
        <v>9</v>
      </c>
      <c r="C5" s="12">
        <v>5876</v>
      </c>
      <c r="D5" s="20"/>
      <c r="E5" s="20"/>
      <c r="F5" s="20"/>
      <c r="G5" s="20"/>
      <c r="H5" s="20"/>
      <c r="I5" s="20"/>
      <c r="J5" s="20"/>
      <c r="K5" s="20"/>
      <c r="L5" s="20"/>
    </row>
    <row r="6" spans="1:18" x14ac:dyDescent="0.25">
      <c r="A6" s="19" t="s">
        <v>109</v>
      </c>
      <c r="B6" s="12">
        <v>3</v>
      </c>
      <c r="C6" s="12">
        <v>1245</v>
      </c>
      <c r="D6" s="20"/>
      <c r="E6" s="20"/>
      <c r="F6" s="20"/>
      <c r="G6" s="20"/>
      <c r="H6" s="20"/>
      <c r="I6" s="20"/>
      <c r="J6" s="20"/>
      <c r="K6" s="20"/>
      <c r="L6" s="20"/>
    </row>
    <row r="7" spans="1:18" x14ac:dyDescent="0.25">
      <c r="A7" s="19" t="s">
        <v>117</v>
      </c>
      <c r="B7" s="12">
        <v>7</v>
      </c>
      <c r="C7" s="12">
        <v>897</v>
      </c>
      <c r="D7" s="20"/>
      <c r="E7" s="20"/>
      <c r="F7" s="20"/>
      <c r="G7" s="20"/>
      <c r="H7" s="20"/>
      <c r="I7" s="20"/>
      <c r="J7" s="20"/>
      <c r="K7" s="20"/>
      <c r="L7" s="20"/>
    </row>
    <row r="8" spans="1:18" x14ac:dyDescent="0.25">
      <c r="A8" s="19" t="s">
        <v>178</v>
      </c>
      <c r="B8" s="12">
        <v>5</v>
      </c>
      <c r="C8" s="12">
        <v>1478</v>
      </c>
      <c r="D8" s="20"/>
      <c r="E8" s="20"/>
      <c r="F8" s="20"/>
      <c r="G8" s="20"/>
      <c r="H8" s="20"/>
      <c r="I8" s="20"/>
      <c r="J8" s="20"/>
      <c r="K8" s="20"/>
      <c r="L8" s="20"/>
    </row>
    <row r="9" spans="1:18" x14ac:dyDescent="0.25">
      <c r="A9" s="19" t="s">
        <v>183</v>
      </c>
      <c r="B9" s="12">
        <v>11</v>
      </c>
      <c r="C9" s="12">
        <v>789</v>
      </c>
      <c r="D9" s="20"/>
      <c r="E9" s="20"/>
      <c r="F9" s="20"/>
      <c r="G9" s="20"/>
      <c r="H9" s="20"/>
      <c r="I9" s="20"/>
      <c r="J9" s="20"/>
      <c r="K9" s="20"/>
      <c r="L9" s="20"/>
    </row>
    <row r="10" spans="1:18" x14ac:dyDescent="0.25">
      <c r="A10" s="19" t="s">
        <v>28</v>
      </c>
      <c r="B10" s="12">
        <v>4</v>
      </c>
      <c r="C10" s="12">
        <v>6589</v>
      </c>
      <c r="D10" s="20"/>
      <c r="E10" s="20"/>
      <c r="F10" s="20"/>
      <c r="G10" s="20"/>
      <c r="H10" s="20"/>
      <c r="I10" s="20"/>
      <c r="J10" s="20"/>
      <c r="K10" s="20"/>
      <c r="L10" s="20"/>
    </row>
    <row r="11" spans="1:18" x14ac:dyDescent="0.25">
      <c r="A11" s="19" t="s">
        <v>176</v>
      </c>
      <c r="B11" s="12">
        <v>1</v>
      </c>
      <c r="C11" s="12">
        <v>5497</v>
      </c>
      <c r="D11" s="20"/>
      <c r="E11" s="20"/>
      <c r="F11" s="20"/>
      <c r="G11" s="20"/>
      <c r="H11" s="20"/>
      <c r="I11" s="20"/>
      <c r="J11" s="20"/>
      <c r="K11" s="20"/>
      <c r="L11" s="20"/>
    </row>
    <row r="12" spans="1:18" x14ac:dyDescent="0.25">
      <c r="A12" s="19" t="s">
        <v>179</v>
      </c>
      <c r="B12" s="12">
        <v>6</v>
      </c>
      <c r="C12" s="12">
        <v>2456</v>
      </c>
      <c r="D12" s="20"/>
      <c r="E12" s="20"/>
      <c r="F12" s="20"/>
      <c r="G12" s="20"/>
      <c r="H12" s="20"/>
      <c r="I12" s="20"/>
      <c r="J12" s="20"/>
      <c r="K12" s="20"/>
      <c r="L12" s="20"/>
    </row>
    <row r="13" spans="1:18" x14ac:dyDescent="0.25">
      <c r="A13" s="19" t="s">
        <v>180</v>
      </c>
      <c r="B13" s="12">
        <v>8</v>
      </c>
      <c r="C13" s="12">
        <v>4789</v>
      </c>
      <c r="D13" s="20"/>
      <c r="E13" s="20"/>
      <c r="F13" s="20"/>
      <c r="G13" s="20"/>
      <c r="H13" s="20"/>
      <c r="I13" s="20"/>
      <c r="J13" s="20"/>
      <c r="K13" s="20"/>
      <c r="L13" s="20"/>
    </row>
    <row r="14" spans="1:18" x14ac:dyDescent="0.25">
      <c r="A14" s="19" t="s">
        <v>177</v>
      </c>
      <c r="B14" s="12">
        <v>2</v>
      </c>
      <c r="C14" s="12">
        <v>4569</v>
      </c>
      <c r="D14" s="20"/>
      <c r="E14" s="20"/>
      <c r="F14" s="20"/>
      <c r="G14" s="20"/>
      <c r="H14" s="20"/>
      <c r="I14" s="20"/>
      <c r="J14" s="20"/>
      <c r="K14" s="20"/>
      <c r="L14" s="20"/>
    </row>
    <row r="15" spans="1:18" x14ac:dyDescent="0.25">
      <c r="A15" s="19" t="s">
        <v>247</v>
      </c>
      <c r="B15" s="12">
        <v>66</v>
      </c>
      <c r="C15" s="12">
        <v>39468</v>
      </c>
    </row>
    <row r="16" spans="1:18" x14ac:dyDescent="0.25">
      <c r="P16" s="18" t="s">
        <v>246</v>
      </c>
      <c r="Q16" t="s">
        <v>245</v>
      </c>
      <c r="R16" t="s">
        <v>248</v>
      </c>
    </row>
    <row r="17" spans="2:18" x14ac:dyDescent="0.25">
      <c r="P17" s="19" t="s">
        <v>121</v>
      </c>
      <c r="Q17" s="12">
        <v>7</v>
      </c>
      <c r="R17" s="12">
        <v>15000</v>
      </c>
    </row>
    <row r="18" spans="2:18" x14ac:dyDescent="0.25">
      <c r="P18" s="19" t="s">
        <v>120</v>
      </c>
      <c r="Q18" s="12">
        <v>6</v>
      </c>
      <c r="R18" s="12">
        <v>3500</v>
      </c>
    </row>
    <row r="19" spans="2:18" x14ac:dyDescent="0.25">
      <c r="P19" s="19" t="s">
        <v>122</v>
      </c>
      <c r="Q19" s="12">
        <v>8</v>
      </c>
      <c r="R19" s="12">
        <v>45000</v>
      </c>
    </row>
    <row r="20" spans="2:18" x14ac:dyDescent="0.25">
      <c r="B20" t="s">
        <v>9</v>
      </c>
      <c r="C20" t="s">
        <v>108</v>
      </c>
      <c r="D20" t="s">
        <v>174</v>
      </c>
      <c r="F20" t="s">
        <v>9</v>
      </c>
      <c r="G20" t="s">
        <v>108</v>
      </c>
      <c r="H20" t="s">
        <v>174</v>
      </c>
      <c r="P20" s="19" t="s">
        <v>117</v>
      </c>
      <c r="Q20" s="12">
        <v>1</v>
      </c>
      <c r="R20" s="12">
        <v>5000</v>
      </c>
    </row>
    <row r="21" spans="2:18" x14ac:dyDescent="0.25">
      <c r="B21">
        <v>1</v>
      </c>
      <c r="C21" t="s">
        <v>117</v>
      </c>
      <c r="D21">
        <v>5000</v>
      </c>
      <c r="F21">
        <v>1</v>
      </c>
      <c r="G21" t="str">
        <f>VLOOKUP(F21,B20:D30,2,0)</f>
        <v>KEERTHI</v>
      </c>
      <c r="H21">
        <f>VLOOKUP(G21,C20:E30,2,0)</f>
        <v>5000</v>
      </c>
      <c r="P21" s="19" t="s">
        <v>116</v>
      </c>
      <c r="Q21" s="12">
        <v>10</v>
      </c>
      <c r="R21" s="12">
        <v>1367</v>
      </c>
    </row>
    <row r="22" spans="2:18" x14ac:dyDescent="0.25">
      <c r="B22">
        <v>2</v>
      </c>
      <c r="C22" t="s">
        <v>118</v>
      </c>
      <c r="D22">
        <v>4000</v>
      </c>
      <c r="F22">
        <v>2</v>
      </c>
      <c r="G22" t="str">
        <f>VLOOKUP(F22,B21:D31,2,0)</f>
        <v>KOKATI</v>
      </c>
      <c r="H22">
        <f>VLOOKUP(G22,C21:E31,2,0)</f>
        <v>4000</v>
      </c>
      <c r="P22" s="19" t="s">
        <v>118</v>
      </c>
      <c r="Q22" s="12">
        <v>2</v>
      </c>
      <c r="R22" s="12">
        <v>4000</v>
      </c>
    </row>
    <row r="23" spans="2:18" x14ac:dyDescent="0.25">
      <c r="B23">
        <v>3</v>
      </c>
      <c r="C23" t="s">
        <v>119</v>
      </c>
      <c r="D23">
        <v>9000</v>
      </c>
      <c r="F23">
        <v>3</v>
      </c>
      <c r="G23" t="str">
        <f t="shared" ref="G23:H30" si="0">VLOOKUP(F23,B22:D31,2,0)</f>
        <v>SEHER</v>
      </c>
      <c r="H23">
        <f>VLOOKUP(G23,C22:E31,2,0)</f>
        <v>9000</v>
      </c>
      <c r="P23" s="19" t="s">
        <v>123</v>
      </c>
      <c r="Q23" s="12">
        <v>9</v>
      </c>
      <c r="R23" s="12">
        <v>852</v>
      </c>
    </row>
    <row r="24" spans="2:18" x14ac:dyDescent="0.25">
      <c r="B24">
        <v>4</v>
      </c>
      <c r="C24" t="s">
        <v>37</v>
      </c>
      <c r="D24">
        <v>9500</v>
      </c>
      <c r="F24">
        <v>4</v>
      </c>
      <c r="G24" t="str">
        <f t="shared" si="0"/>
        <v>ZAID</v>
      </c>
      <c r="H24">
        <f>VLOOKUP(G24,C23:E32,2,0)</f>
        <v>9500</v>
      </c>
      <c r="P24" s="19" t="s">
        <v>119</v>
      </c>
      <c r="Q24" s="12">
        <v>3</v>
      </c>
      <c r="R24" s="12">
        <v>9000</v>
      </c>
    </row>
    <row r="25" spans="2:18" x14ac:dyDescent="0.25">
      <c r="B25">
        <v>5</v>
      </c>
      <c r="C25" t="s">
        <v>42</v>
      </c>
      <c r="D25">
        <v>4200</v>
      </c>
      <c r="F25">
        <v>5</v>
      </c>
      <c r="G25" t="str">
        <f t="shared" si="0"/>
        <v>SUFIYAN</v>
      </c>
      <c r="H25">
        <f t="shared" si="0"/>
        <v>4200</v>
      </c>
      <c r="P25" s="19" t="s">
        <v>42</v>
      </c>
      <c r="Q25" s="12">
        <v>5</v>
      </c>
      <c r="R25" s="12">
        <v>4200</v>
      </c>
    </row>
    <row r="26" spans="2:18" x14ac:dyDescent="0.25">
      <c r="B26">
        <v>6</v>
      </c>
      <c r="C26" t="s">
        <v>120</v>
      </c>
      <c r="D26">
        <v>3500</v>
      </c>
      <c r="F26">
        <v>6</v>
      </c>
      <c r="G26" t="str">
        <f t="shared" si="0"/>
        <v>IRFANA</v>
      </c>
      <c r="H26">
        <f>VLOOKUP(G26,C25:E34,2,0)</f>
        <v>3500</v>
      </c>
      <c r="P26" s="19" t="s">
        <v>37</v>
      </c>
      <c r="Q26" s="12">
        <v>4</v>
      </c>
      <c r="R26" s="12">
        <v>9500</v>
      </c>
    </row>
    <row r="27" spans="2:18" x14ac:dyDescent="0.25">
      <c r="B27">
        <v>7</v>
      </c>
      <c r="C27" t="s">
        <v>121</v>
      </c>
      <c r="D27">
        <v>15000</v>
      </c>
      <c r="F27">
        <v>7</v>
      </c>
      <c r="G27" t="str">
        <f t="shared" si="0"/>
        <v>CHAITRA</v>
      </c>
      <c r="H27">
        <f>VLOOKUP(G27,C26:E35,2,0)</f>
        <v>15000</v>
      </c>
      <c r="P27" s="19" t="s">
        <v>247</v>
      </c>
      <c r="Q27" s="12">
        <v>55</v>
      </c>
      <c r="R27" s="12">
        <v>97419</v>
      </c>
    </row>
    <row r="28" spans="2:18" x14ac:dyDescent="0.25">
      <c r="B28">
        <v>8</v>
      </c>
      <c r="C28" t="s">
        <v>122</v>
      </c>
      <c r="D28">
        <v>45000</v>
      </c>
      <c r="F28">
        <v>8</v>
      </c>
      <c r="G28" t="str">
        <f t="shared" si="0"/>
        <v>KEERTHANA</v>
      </c>
      <c r="H28">
        <f t="shared" si="0"/>
        <v>45000</v>
      </c>
    </row>
    <row r="29" spans="2:18" x14ac:dyDescent="0.25">
      <c r="B29">
        <v>9</v>
      </c>
      <c r="C29" t="s">
        <v>123</v>
      </c>
      <c r="D29">
        <v>852</v>
      </c>
      <c r="F29">
        <v>9</v>
      </c>
      <c r="G29" t="str">
        <f t="shared" si="0"/>
        <v>PRATHIBHA</v>
      </c>
      <c r="H29">
        <f t="shared" si="0"/>
        <v>852</v>
      </c>
    </row>
    <row r="30" spans="2:18" x14ac:dyDescent="0.25">
      <c r="B30">
        <v>10</v>
      </c>
      <c r="C30" t="s">
        <v>116</v>
      </c>
      <c r="D30">
        <v>1367</v>
      </c>
      <c r="F30">
        <v>10</v>
      </c>
      <c r="G30" t="str">
        <f t="shared" si="0"/>
        <v>KHAMAR</v>
      </c>
      <c r="H30">
        <f t="shared" si="0"/>
        <v>1367</v>
      </c>
    </row>
    <row r="33" spans="2:11" x14ac:dyDescent="0.25">
      <c r="B33" t="s">
        <v>9</v>
      </c>
      <c r="C33" t="s">
        <v>108</v>
      </c>
      <c r="D33" t="s">
        <v>65</v>
      </c>
      <c r="E33" t="s">
        <v>78</v>
      </c>
      <c r="F33" t="s">
        <v>79</v>
      </c>
    </row>
    <row r="34" spans="2:11" x14ac:dyDescent="0.25">
      <c r="B34">
        <v>1</v>
      </c>
      <c r="C34" t="s">
        <v>184</v>
      </c>
      <c r="D34" t="s">
        <v>191</v>
      </c>
      <c r="E34" t="s">
        <v>197</v>
      </c>
      <c r="F34">
        <f>8*50</f>
        <v>400</v>
      </c>
    </row>
    <row r="35" spans="2:11" x14ac:dyDescent="0.25">
      <c r="B35">
        <v>2</v>
      </c>
      <c r="C35" t="s">
        <v>185</v>
      </c>
      <c r="D35" t="s">
        <v>192</v>
      </c>
      <c r="E35" t="s">
        <v>197</v>
      </c>
      <c r="F35" s="12">
        <f>5*50</f>
        <v>250</v>
      </c>
    </row>
    <row r="36" spans="2:11" x14ac:dyDescent="0.25">
      <c r="B36">
        <v>3</v>
      </c>
      <c r="C36" t="s">
        <v>186</v>
      </c>
      <c r="D36" t="s">
        <v>193</v>
      </c>
      <c r="E36" t="s">
        <v>197</v>
      </c>
      <c r="F36">
        <f>6*50</f>
        <v>300</v>
      </c>
    </row>
    <row r="37" spans="2:11" x14ac:dyDescent="0.25">
      <c r="B37">
        <v>4</v>
      </c>
      <c r="C37" t="s">
        <v>187</v>
      </c>
      <c r="D37" t="s">
        <v>194</v>
      </c>
      <c r="E37" t="s">
        <v>198</v>
      </c>
      <c r="F37">
        <f>7*85</f>
        <v>595</v>
      </c>
    </row>
    <row r="38" spans="2:11" x14ac:dyDescent="0.25">
      <c r="B38">
        <v>5</v>
      </c>
      <c r="C38" t="s">
        <v>188</v>
      </c>
      <c r="D38" t="s">
        <v>192</v>
      </c>
      <c r="E38" t="s">
        <v>199</v>
      </c>
      <c r="F38">
        <f>5*33</f>
        <v>165</v>
      </c>
    </row>
    <row r="39" spans="2:11" x14ac:dyDescent="0.25">
      <c r="B39">
        <v>6</v>
      </c>
      <c r="C39" t="s">
        <v>189</v>
      </c>
      <c r="D39" t="s">
        <v>195</v>
      </c>
      <c r="E39" t="s">
        <v>200</v>
      </c>
      <c r="F39">
        <f>10*78</f>
        <v>780</v>
      </c>
    </row>
    <row r="40" spans="2:11" x14ac:dyDescent="0.25">
      <c r="B40">
        <v>7</v>
      </c>
      <c r="C40" t="s">
        <v>190</v>
      </c>
      <c r="D40" t="s">
        <v>196</v>
      </c>
      <c r="E40" t="s">
        <v>201</v>
      </c>
      <c r="F40">
        <f>17*99</f>
        <v>1683</v>
      </c>
      <c r="I40" s="18" t="s">
        <v>246</v>
      </c>
      <c r="J40" t="s">
        <v>245</v>
      </c>
      <c r="K40" t="s">
        <v>255</v>
      </c>
    </row>
    <row r="41" spans="2:11" x14ac:dyDescent="0.25">
      <c r="I41" s="19" t="s">
        <v>195</v>
      </c>
      <c r="J41" s="12">
        <v>6</v>
      </c>
      <c r="K41" s="12">
        <v>780</v>
      </c>
    </row>
    <row r="42" spans="2:11" x14ac:dyDescent="0.25">
      <c r="I42" s="21" t="s">
        <v>189</v>
      </c>
      <c r="J42" s="12">
        <v>6</v>
      </c>
      <c r="K42" s="12">
        <v>780</v>
      </c>
    </row>
    <row r="43" spans="2:11" x14ac:dyDescent="0.25">
      <c r="I43" s="22" t="s">
        <v>200</v>
      </c>
      <c r="J43" s="12">
        <v>6</v>
      </c>
      <c r="K43" s="12">
        <v>780</v>
      </c>
    </row>
    <row r="44" spans="2:11" x14ac:dyDescent="0.25">
      <c r="I44" s="19" t="s">
        <v>196</v>
      </c>
      <c r="J44" s="12">
        <v>7</v>
      </c>
      <c r="K44" s="12">
        <v>1683</v>
      </c>
    </row>
    <row r="45" spans="2:11" x14ac:dyDescent="0.25">
      <c r="I45" s="21" t="s">
        <v>190</v>
      </c>
      <c r="J45" s="12">
        <v>7</v>
      </c>
      <c r="K45" s="12">
        <v>1683</v>
      </c>
    </row>
    <row r="46" spans="2:11" x14ac:dyDescent="0.25">
      <c r="I46" s="22" t="s">
        <v>201</v>
      </c>
      <c r="J46" s="12">
        <v>7</v>
      </c>
      <c r="K46" s="12">
        <v>1683</v>
      </c>
    </row>
    <row r="47" spans="2:11" x14ac:dyDescent="0.25">
      <c r="I47" s="19" t="s">
        <v>192</v>
      </c>
      <c r="J47" s="12">
        <v>7</v>
      </c>
      <c r="K47" s="12">
        <v>415</v>
      </c>
    </row>
    <row r="48" spans="2:11" x14ac:dyDescent="0.25">
      <c r="I48" s="21" t="s">
        <v>188</v>
      </c>
      <c r="J48" s="12">
        <v>5</v>
      </c>
      <c r="K48" s="12">
        <v>165</v>
      </c>
    </row>
    <row r="49" spans="9:11" x14ac:dyDescent="0.25">
      <c r="I49" s="22" t="s">
        <v>199</v>
      </c>
      <c r="J49" s="12">
        <v>5</v>
      </c>
      <c r="K49" s="12">
        <v>165</v>
      </c>
    </row>
    <row r="50" spans="9:11" x14ac:dyDescent="0.25">
      <c r="I50" s="21" t="s">
        <v>185</v>
      </c>
      <c r="J50" s="12">
        <v>2</v>
      </c>
      <c r="K50" s="12">
        <v>250</v>
      </c>
    </row>
    <row r="51" spans="9:11" x14ac:dyDescent="0.25">
      <c r="I51" s="22" t="s">
        <v>197</v>
      </c>
      <c r="J51" s="12">
        <v>2</v>
      </c>
      <c r="K51" s="12">
        <v>250</v>
      </c>
    </row>
    <row r="52" spans="9:11" x14ac:dyDescent="0.25">
      <c r="I52" s="19" t="s">
        <v>193</v>
      </c>
      <c r="J52" s="12">
        <v>3</v>
      </c>
      <c r="K52" s="12">
        <v>300</v>
      </c>
    </row>
    <row r="53" spans="9:11" x14ac:dyDescent="0.25">
      <c r="I53" s="21" t="s">
        <v>186</v>
      </c>
      <c r="J53" s="12">
        <v>3</v>
      </c>
      <c r="K53" s="12">
        <v>300</v>
      </c>
    </row>
    <row r="54" spans="9:11" x14ac:dyDescent="0.25">
      <c r="I54" s="22" t="s">
        <v>197</v>
      </c>
      <c r="J54" s="12">
        <v>3</v>
      </c>
      <c r="K54" s="12">
        <v>300</v>
      </c>
    </row>
    <row r="55" spans="9:11" x14ac:dyDescent="0.25">
      <c r="I55" s="19" t="s">
        <v>194</v>
      </c>
      <c r="J55" s="12">
        <v>4</v>
      </c>
      <c r="K55" s="12">
        <v>595</v>
      </c>
    </row>
    <row r="56" spans="9:11" x14ac:dyDescent="0.25">
      <c r="I56" s="21" t="s">
        <v>187</v>
      </c>
      <c r="J56" s="12">
        <v>4</v>
      </c>
      <c r="K56" s="12">
        <v>595</v>
      </c>
    </row>
    <row r="57" spans="9:11" x14ac:dyDescent="0.25">
      <c r="I57" s="22" t="s">
        <v>198</v>
      </c>
      <c r="J57" s="12">
        <v>4</v>
      </c>
      <c r="K57" s="12">
        <v>595</v>
      </c>
    </row>
    <row r="58" spans="9:11" x14ac:dyDescent="0.25">
      <c r="I58" s="19" t="s">
        <v>191</v>
      </c>
      <c r="J58" s="12">
        <v>1</v>
      </c>
      <c r="K58" s="12">
        <v>400</v>
      </c>
    </row>
    <row r="59" spans="9:11" x14ac:dyDescent="0.25">
      <c r="I59" s="21" t="s">
        <v>184</v>
      </c>
      <c r="J59" s="12">
        <v>1</v>
      </c>
      <c r="K59" s="12">
        <v>400</v>
      </c>
    </row>
    <row r="60" spans="9:11" x14ac:dyDescent="0.25">
      <c r="I60" s="22" t="s">
        <v>197</v>
      </c>
      <c r="J60" s="12">
        <v>1</v>
      </c>
      <c r="K60" s="12">
        <v>400</v>
      </c>
    </row>
    <row r="61" spans="9:11" x14ac:dyDescent="0.25">
      <c r="I61" s="19" t="s">
        <v>247</v>
      </c>
      <c r="J61" s="12">
        <v>28</v>
      </c>
      <c r="K61" s="12">
        <v>4173</v>
      </c>
    </row>
  </sheetData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84"/>
  <sheetViews>
    <sheetView workbookViewId="0">
      <selection activeCell="Q9" sqref="Q9"/>
    </sheetView>
  </sheetViews>
  <sheetFormatPr defaultRowHeight="15" x14ac:dyDescent="0.25"/>
  <cols>
    <col min="2" max="2" width="15.42578125" customWidth="1"/>
    <col min="3" max="3" width="13" customWidth="1"/>
    <col min="17" max="17" width="13.140625" bestFit="1" customWidth="1"/>
    <col min="18" max="18" width="12.85546875" bestFit="1" customWidth="1"/>
    <col min="19" max="19" width="12.7109375" bestFit="1" customWidth="1"/>
  </cols>
  <sheetData>
    <row r="2" spans="1:19" x14ac:dyDescent="0.25">
      <c r="E2" s="39" t="s">
        <v>149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9" x14ac:dyDescent="0.25"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6" spans="1:19" x14ac:dyDescent="0.25">
      <c r="A6" t="s">
        <v>9</v>
      </c>
      <c r="B6" t="s">
        <v>150</v>
      </c>
      <c r="C6" t="s">
        <v>163</v>
      </c>
    </row>
    <row r="7" spans="1:19" x14ac:dyDescent="0.25">
      <c r="A7">
        <v>1</v>
      </c>
      <c r="B7" t="s">
        <v>151</v>
      </c>
      <c r="C7">
        <v>45</v>
      </c>
    </row>
    <row r="8" spans="1:19" x14ac:dyDescent="0.25">
      <c r="A8">
        <v>2</v>
      </c>
      <c r="B8" t="s">
        <v>152</v>
      </c>
      <c r="C8">
        <v>35</v>
      </c>
    </row>
    <row r="9" spans="1:19" x14ac:dyDescent="0.25">
      <c r="A9">
        <v>3</v>
      </c>
      <c r="B9" t="s">
        <v>153</v>
      </c>
      <c r="C9">
        <v>96</v>
      </c>
      <c r="Q9" s="18" t="s">
        <v>246</v>
      </c>
      <c r="R9" t="s">
        <v>245</v>
      </c>
      <c r="S9" t="s">
        <v>262</v>
      </c>
    </row>
    <row r="10" spans="1:19" x14ac:dyDescent="0.25">
      <c r="A10">
        <v>4</v>
      </c>
      <c r="B10" t="s">
        <v>154</v>
      </c>
      <c r="C10">
        <v>57</v>
      </c>
      <c r="Q10" s="19" t="s">
        <v>151</v>
      </c>
      <c r="R10" s="12">
        <v>1</v>
      </c>
      <c r="S10" s="12">
        <v>45</v>
      </c>
    </row>
    <row r="11" spans="1:19" x14ac:dyDescent="0.25">
      <c r="A11">
        <v>5</v>
      </c>
      <c r="B11" t="s">
        <v>155</v>
      </c>
      <c r="C11">
        <v>12</v>
      </c>
      <c r="Q11" s="19" t="s">
        <v>152</v>
      </c>
      <c r="R11" s="12">
        <v>2</v>
      </c>
      <c r="S11" s="12">
        <v>35</v>
      </c>
    </row>
    <row r="12" spans="1:19" x14ac:dyDescent="0.25">
      <c r="A12">
        <v>6</v>
      </c>
      <c r="B12" t="s">
        <v>156</v>
      </c>
      <c r="C12">
        <v>36</v>
      </c>
      <c r="Q12" s="19" t="s">
        <v>153</v>
      </c>
      <c r="R12" s="12">
        <v>3</v>
      </c>
      <c r="S12" s="12">
        <v>96</v>
      </c>
    </row>
    <row r="13" spans="1:19" x14ac:dyDescent="0.25">
      <c r="A13">
        <v>7</v>
      </c>
      <c r="B13" t="s">
        <v>157</v>
      </c>
      <c r="C13">
        <v>56</v>
      </c>
      <c r="Q13" s="19" t="s">
        <v>154</v>
      </c>
      <c r="R13" s="12">
        <v>4</v>
      </c>
      <c r="S13" s="12">
        <v>57</v>
      </c>
    </row>
    <row r="14" spans="1:19" x14ac:dyDescent="0.25">
      <c r="A14">
        <v>8</v>
      </c>
      <c r="B14" t="s">
        <v>158</v>
      </c>
      <c r="C14">
        <v>75</v>
      </c>
      <c r="Q14" s="19" t="s">
        <v>155</v>
      </c>
      <c r="R14" s="12">
        <v>5</v>
      </c>
      <c r="S14" s="12">
        <v>12</v>
      </c>
    </row>
    <row r="15" spans="1:19" x14ac:dyDescent="0.25">
      <c r="A15">
        <v>9</v>
      </c>
      <c r="B15" t="s">
        <v>159</v>
      </c>
      <c r="C15">
        <v>26</v>
      </c>
      <c r="Q15" s="19" t="s">
        <v>156</v>
      </c>
      <c r="R15" s="12">
        <v>6</v>
      </c>
      <c r="S15" s="12">
        <v>36</v>
      </c>
    </row>
    <row r="16" spans="1:19" x14ac:dyDescent="0.25">
      <c r="A16">
        <v>10</v>
      </c>
      <c r="B16" t="s">
        <v>160</v>
      </c>
      <c r="C16">
        <v>96</v>
      </c>
      <c r="Q16" s="19" t="s">
        <v>157</v>
      </c>
      <c r="R16" s="12">
        <v>7</v>
      </c>
      <c r="S16" s="12">
        <v>56</v>
      </c>
    </row>
    <row r="17" spans="1:19" x14ac:dyDescent="0.25">
      <c r="A17">
        <v>11</v>
      </c>
      <c r="B17" t="s">
        <v>161</v>
      </c>
      <c r="C17">
        <v>75</v>
      </c>
      <c r="Q17" s="19" t="s">
        <v>158</v>
      </c>
      <c r="R17" s="12">
        <v>8</v>
      </c>
      <c r="S17" s="12">
        <v>75</v>
      </c>
    </row>
    <row r="18" spans="1:19" x14ac:dyDescent="0.25">
      <c r="A18">
        <v>12</v>
      </c>
      <c r="B18" t="s">
        <v>162</v>
      </c>
      <c r="C18">
        <v>35</v>
      </c>
      <c r="Q18" s="19" t="s">
        <v>159</v>
      </c>
      <c r="R18" s="12">
        <v>9</v>
      </c>
      <c r="S18" s="12">
        <v>26</v>
      </c>
    </row>
    <row r="19" spans="1:19" x14ac:dyDescent="0.25">
      <c r="Q19" s="19" t="s">
        <v>160</v>
      </c>
      <c r="R19" s="12">
        <v>10</v>
      </c>
      <c r="S19" s="12">
        <v>96</v>
      </c>
    </row>
    <row r="20" spans="1:19" x14ac:dyDescent="0.25">
      <c r="Q20" s="19" t="s">
        <v>161</v>
      </c>
      <c r="R20" s="12">
        <v>11</v>
      </c>
      <c r="S20" s="12">
        <v>75</v>
      </c>
    </row>
    <row r="21" spans="1:19" x14ac:dyDescent="0.25">
      <c r="Q21" s="19" t="s">
        <v>162</v>
      </c>
      <c r="R21" s="12">
        <v>12</v>
      </c>
      <c r="S21" s="12">
        <v>35</v>
      </c>
    </row>
    <row r="22" spans="1:19" x14ac:dyDescent="0.25">
      <c r="Q22" s="19" t="s">
        <v>247</v>
      </c>
      <c r="R22" s="12">
        <v>78</v>
      </c>
      <c r="S22" s="12">
        <v>644</v>
      </c>
    </row>
    <row r="23" spans="1:19" x14ac:dyDescent="0.25">
      <c r="A23" t="s">
        <v>9</v>
      </c>
      <c r="B23" t="s">
        <v>164</v>
      </c>
      <c r="C23" t="s">
        <v>163</v>
      </c>
    </row>
    <row r="24" spans="1:19" x14ac:dyDescent="0.25">
      <c r="A24">
        <v>1</v>
      </c>
      <c r="B24" t="s">
        <v>165</v>
      </c>
      <c r="C24">
        <v>35</v>
      </c>
    </row>
    <row r="25" spans="1:19" x14ac:dyDescent="0.25">
      <c r="A25">
        <v>2</v>
      </c>
      <c r="B25" t="s">
        <v>166</v>
      </c>
      <c r="C25">
        <v>68</v>
      </c>
    </row>
    <row r="26" spans="1:19" x14ac:dyDescent="0.25">
      <c r="A26">
        <v>3</v>
      </c>
      <c r="B26" t="s">
        <v>167</v>
      </c>
      <c r="C26">
        <v>95</v>
      </c>
    </row>
    <row r="27" spans="1:19" x14ac:dyDescent="0.25">
      <c r="A27">
        <v>4</v>
      </c>
      <c r="B27" t="s">
        <v>168</v>
      </c>
      <c r="C27">
        <v>56</v>
      </c>
    </row>
    <row r="28" spans="1:19" x14ac:dyDescent="0.25">
      <c r="A28">
        <v>5</v>
      </c>
      <c r="B28" t="s">
        <v>169</v>
      </c>
      <c r="C28">
        <v>78</v>
      </c>
    </row>
    <row r="29" spans="1:19" x14ac:dyDescent="0.25">
      <c r="A29">
        <v>6</v>
      </c>
      <c r="B29" t="s">
        <v>170</v>
      </c>
      <c r="C29">
        <v>35</v>
      </c>
    </row>
    <row r="30" spans="1:19" x14ac:dyDescent="0.25">
      <c r="A30">
        <v>7</v>
      </c>
      <c r="B30" t="s">
        <v>171</v>
      </c>
      <c r="C30">
        <v>85</v>
      </c>
    </row>
    <row r="37" spans="1:3" x14ac:dyDescent="0.25">
      <c r="A37" t="s">
        <v>9</v>
      </c>
      <c r="B37" t="s">
        <v>150</v>
      </c>
      <c r="C37" t="s">
        <v>163</v>
      </c>
    </row>
    <row r="38" spans="1:3" x14ac:dyDescent="0.25">
      <c r="A38">
        <v>1</v>
      </c>
      <c r="B38" t="s">
        <v>151</v>
      </c>
      <c r="C38">
        <v>85</v>
      </c>
    </row>
    <row r="39" spans="1:3" x14ac:dyDescent="0.25">
      <c r="A39">
        <v>2</v>
      </c>
      <c r="B39" t="s">
        <v>152</v>
      </c>
      <c r="C39">
        <v>35</v>
      </c>
    </row>
    <row r="40" spans="1:3" x14ac:dyDescent="0.25">
      <c r="A40">
        <v>3</v>
      </c>
      <c r="B40" t="s">
        <v>153</v>
      </c>
      <c r="C40">
        <v>75</v>
      </c>
    </row>
    <row r="41" spans="1:3" x14ac:dyDescent="0.25">
      <c r="A41">
        <v>4</v>
      </c>
      <c r="B41" t="s">
        <v>154</v>
      </c>
      <c r="C41">
        <v>69</v>
      </c>
    </row>
    <row r="42" spans="1:3" x14ac:dyDescent="0.25">
      <c r="A42">
        <v>5</v>
      </c>
      <c r="B42" t="s">
        <v>155</v>
      </c>
      <c r="C42">
        <v>44</v>
      </c>
    </row>
    <row r="43" spans="1:3" x14ac:dyDescent="0.25">
      <c r="A43">
        <v>6</v>
      </c>
      <c r="B43" t="s">
        <v>156</v>
      </c>
      <c r="C43">
        <v>36</v>
      </c>
    </row>
    <row r="44" spans="1:3" x14ac:dyDescent="0.25">
      <c r="A44">
        <v>7</v>
      </c>
      <c r="B44" t="s">
        <v>157</v>
      </c>
      <c r="C44">
        <v>27</v>
      </c>
    </row>
    <row r="45" spans="1:3" x14ac:dyDescent="0.25">
      <c r="A45">
        <v>8</v>
      </c>
      <c r="B45" t="s">
        <v>158</v>
      </c>
      <c r="C45">
        <v>38</v>
      </c>
    </row>
    <row r="46" spans="1:3" x14ac:dyDescent="0.25">
      <c r="A46">
        <v>9</v>
      </c>
      <c r="B46" t="s">
        <v>159</v>
      </c>
      <c r="C46">
        <v>95</v>
      </c>
    </row>
    <row r="47" spans="1:3" x14ac:dyDescent="0.25">
      <c r="A47">
        <v>10</v>
      </c>
      <c r="B47" t="s">
        <v>160</v>
      </c>
      <c r="C47">
        <v>78</v>
      </c>
    </row>
    <row r="48" spans="1:3" x14ac:dyDescent="0.25">
      <c r="A48">
        <v>11</v>
      </c>
      <c r="B48" t="s">
        <v>161</v>
      </c>
      <c r="C48">
        <v>32</v>
      </c>
    </row>
    <row r="49" spans="1:3" x14ac:dyDescent="0.25">
      <c r="A49">
        <v>12</v>
      </c>
      <c r="B49" t="s">
        <v>162</v>
      </c>
      <c r="C49">
        <v>78</v>
      </c>
    </row>
    <row r="52" spans="1:3" x14ac:dyDescent="0.25">
      <c r="A52" t="s">
        <v>9</v>
      </c>
      <c r="B52" t="s">
        <v>164</v>
      </c>
      <c r="C52" t="s">
        <v>163</v>
      </c>
    </row>
    <row r="53" spans="1:3" x14ac:dyDescent="0.25">
      <c r="A53">
        <v>1</v>
      </c>
      <c r="B53" t="s">
        <v>165</v>
      </c>
      <c r="C53">
        <v>88</v>
      </c>
    </row>
    <row r="54" spans="1:3" x14ac:dyDescent="0.25">
      <c r="A54">
        <v>2</v>
      </c>
      <c r="B54" t="s">
        <v>166</v>
      </c>
      <c r="C54">
        <v>36</v>
      </c>
    </row>
    <row r="55" spans="1:3" x14ac:dyDescent="0.25">
      <c r="A55">
        <v>3</v>
      </c>
      <c r="B55" t="s">
        <v>167</v>
      </c>
      <c r="C55">
        <v>95</v>
      </c>
    </row>
    <row r="56" spans="1:3" x14ac:dyDescent="0.25">
      <c r="A56">
        <v>4</v>
      </c>
      <c r="B56" t="s">
        <v>168</v>
      </c>
      <c r="C56">
        <v>74</v>
      </c>
    </row>
    <row r="57" spans="1:3" x14ac:dyDescent="0.25">
      <c r="A57">
        <v>5</v>
      </c>
      <c r="B57" t="s">
        <v>169</v>
      </c>
      <c r="C57">
        <v>25</v>
      </c>
    </row>
    <row r="58" spans="1:3" x14ac:dyDescent="0.25">
      <c r="A58">
        <v>6</v>
      </c>
      <c r="B58" t="s">
        <v>170</v>
      </c>
      <c r="C58">
        <v>66</v>
      </c>
    </row>
    <row r="59" spans="1:3" x14ac:dyDescent="0.25">
      <c r="A59">
        <v>7</v>
      </c>
      <c r="B59" t="s">
        <v>171</v>
      </c>
      <c r="C59">
        <v>78</v>
      </c>
    </row>
    <row r="66" spans="1:3" x14ac:dyDescent="0.25">
      <c r="A66" t="s">
        <v>9</v>
      </c>
      <c r="B66" t="s">
        <v>64</v>
      </c>
      <c r="C66" t="s">
        <v>65</v>
      </c>
    </row>
    <row r="67" spans="1:3" x14ac:dyDescent="0.25">
      <c r="A67">
        <v>1</v>
      </c>
      <c r="B67" t="s">
        <v>72</v>
      </c>
      <c r="C67">
        <v>35</v>
      </c>
    </row>
    <row r="68" spans="1:3" x14ac:dyDescent="0.25">
      <c r="A68">
        <v>2</v>
      </c>
      <c r="B68" t="s">
        <v>73</v>
      </c>
      <c r="C68">
        <v>65</v>
      </c>
    </row>
    <row r="69" spans="1:3" x14ac:dyDescent="0.25">
      <c r="A69">
        <v>3</v>
      </c>
      <c r="B69" t="s">
        <v>74</v>
      </c>
      <c r="C69">
        <v>75</v>
      </c>
    </row>
    <row r="70" spans="1:3" x14ac:dyDescent="0.25">
      <c r="A70">
        <v>4</v>
      </c>
      <c r="B70" t="s">
        <v>75</v>
      </c>
      <c r="C70">
        <v>26</v>
      </c>
    </row>
    <row r="71" spans="1:3" x14ac:dyDescent="0.25">
      <c r="A71">
        <v>5</v>
      </c>
      <c r="B71" t="s">
        <v>76</v>
      </c>
      <c r="C71">
        <v>95</v>
      </c>
    </row>
    <row r="72" spans="1:3" x14ac:dyDescent="0.25">
      <c r="A72">
        <v>6</v>
      </c>
      <c r="B72" t="s">
        <v>68</v>
      </c>
      <c r="C72">
        <v>14</v>
      </c>
    </row>
    <row r="73" spans="1:3" x14ac:dyDescent="0.25">
      <c r="A73">
        <v>7</v>
      </c>
      <c r="B73" t="s">
        <v>69</v>
      </c>
      <c r="C73">
        <v>75</v>
      </c>
    </row>
    <row r="74" spans="1:3" x14ac:dyDescent="0.25">
      <c r="A74">
        <v>8</v>
      </c>
      <c r="B74" t="s">
        <v>70</v>
      </c>
      <c r="C74">
        <v>35</v>
      </c>
    </row>
    <row r="75" spans="1:3" x14ac:dyDescent="0.25">
      <c r="A75">
        <v>9</v>
      </c>
      <c r="B75" t="s">
        <v>71</v>
      </c>
      <c r="C75">
        <v>69</v>
      </c>
    </row>
    <row r="76" spans="1:3" x14ac:dyDescent="0.25">
      <c r="A76">
        <v>10</v>
      </c>
      <c r="B76" t="s">
        <v>72</v>
      </c>
      <c r="C76">
        <v>23</v>
      </c>
    </row>
    <row r="77" spans="1:3" x14ac:dyDescent="0.25">
      <c r="A77">
        <v>11</v>
      </c>
      <c r="B77" t="s">
        <v>73</v>
      </c>
      <c r="C77">
        <v>34</v>
      </c>
    </row>
    <row r="78" spans="1:3" x14ac:dyDescent="0.25">
      <c r="A78">
        <v>12</v>
      </c>
      <c r="B78" t="s">
        <v>77</v>
      </c>
      <c r="C78">
        <v>42</v>
      </c>
    </row>
    <row r="79" spans="1:3" x14ac:dyDescent="0.25">
      <c r="A79">
        <v>13</v>
      </c>
      <c r="B79" t="s">
        <v>68</v>
      </c>
      <c r="C79">
        <v>68</v>
      </c>
    </row>
    <row r="80" spans="1:3" x14ac:dyDescent="0.25">
      <c r="A80">
        <v>14</v>
      </c>
      <c r="B80" t="s">
        <v>75</v>
      </c>
      <c r="C80">
        <v>78</v>
      </c>
    </row>
    <row r="81" spans="1:3" x14ac:dyDescent="0.25">
      <c r="A81">
        <v>15</v>
      </c>
      <c r="B81" t="s">
        <v>82</v>
      </c>
      <c r="C81">
        <v>69</v>
      </c>
    </row>
    <row r="82" spans="1:3" x14ac:dyDescent="0.25">
      <c r="A82">
        <v>16</v>
      </c>
      <c r="B82" t="s">
        <v>83</v>
      </c>
      <c r="C82">
        <v>41</v>
      </c>
    </row>
    <row r="83" spans="1:3" x14ac:dyDescent="0.25">
      <c r="A83">
        <v>17</v>
      </c>
      <c r="B83" t="s">
        <v>72</v>
      </c>
      <c r="C83">
        <v>32</v>
      </c>
    </row>
    <row r="84" spans="1:3" x14ac:dyDescent="0.25">
      <c r="A84">
        <v>18</v>
      </c>
      <c r="B84" t="s">
        <v>84</v>
      </c>
      <c r="C84">
        <v>84</v>
      </c>
    </row>
    <row r="85" spans="1:3" x14ac:dyDescent="0.25">
      <c r="A85">
        <v>19</v>
      </c>
      <c r="B85" t="s">
        <v>85</v>
      </c>
      <c r="C85">
        <v>78</v>
      </c>
    </row>
    <row r="86" spans="1:3" x14ac:dyDescent="0.25">
      <c r="A86">
        <v>20</v>
      </c>
      <c r="B86" t="s">
        <v>86</v>
      </c>
      <c r="C86">
        <v>95</v>
      </c>
    </row>
    <row r="89" spans="1:3" x14ac:dyDescent="0.25">
      <c r="A89" t="s">
        <v>9</v>
      </c>
      <c r="B89" t="s">
        <v>64</v>
      </c>
      <c r="C89" t="s">
        <v>65</v>
      </c>
    </row>
    <row r="90" spans="1:3" x14ac:dyDescent="0.25">
      <c r="A90">
        <v>1</v>
      </c>
      <c r="B90" t="s">
        <v>72</v>
      </c>
      <c r="C90">
        <v>35</v>
      </c>
    </row>
    <row r="91" spans="1:3" x14ac:dyDescent="0.25">
      <c r="A91">
        <v>2</v>
      </c>
      <c r="B91" t="s">
        <v>73</v>
      </c>
      <c r="C91">
        <v>65</v>
      </c>
    </row>
    <row r="92" spans="1:3" x14ac:dyDescent="0.25">
      <c r="A92">
        <v>3</v>
      </c>
      <c r="B92" t="s">
        <v>74</v>
      </c>
      <c r="C92">
        <v>75</v>
      </c>
    </row>
    <row r="93" spans="1:3" x14ac:dyDescent="0.25">
      <c r="A93">
        <v>4</v>
      </c>
      <c r="B93" t="s">
        <v>75</v>
      </c>
      <c r="C93">
        <v>26</v>
      </c>
    </row>
    <row r="94" spans="1:3" x14ac:dyDescent="0.25">
      <c r="A94">
        <v>5</v>
      </c>
      <c r="B94" t="s">
        <v>76</v>
      </c>
      <c r="C94">
        <v>95</v>
      </c>
    </row>
    <row r="95" spans="1:3" x14ac:dyDescent="0.25">
      <c r="A95">
        <v>6</v>
      </c>
      <c r="B95" t="s">
        <v>68</v>
      </c>
      <c r="C95">
        <v>14</v>
      </c>
    </row>
    <row r="96" spans="1:3" x14ac:dyDescent="0.25">
      <c r="A96">
        <v>7</v>
      </c>
      <c r="B96" t="s">
        <v>69</v>
      </c>
      <c r="C96">
        <v>75</v>
      </c>
    </row>
    <row r="97" spans="1:3" x14ac:dyDescent="0.25">
      <c r="A97">
        <v>8</v>
      </c>
      <c r="B97" t="s">
        <v>70</v>
      </c>
      <c r="C97">
        <v>35</v>
      </c>
    </row>
    <row r="98" spans="1:3" x14ac:dyDescent="0.25">
      <c r="A98">
        <v>9</v>
      </c>
      <c r="B98" t="s">
        <v>71</v>
      </c>
      <c r="C98">
        <v>69</v>
      </c>
    </row>
    <row r="99" spans="1:3" x14ac:dyDescent="0.25">
      <c r="A99">
        <v>10</v>
      </c>
      <c r="B99" t="s">
        <v>72</v>
      </c>
      <c r="C99">
        <v>23</v>
      </c>
    </row>
    <row r="100" spans="1:3" x14ac:dyDescent="0.25">
      <c r="A100">
        <v>11</v>
      </c>
      <c r="B100" t="s">
        <v>73</v>
      </c>
      <c r="C100">
        <v>34</v>
      </c>
    </row>
    <row r="101" spans="1:3" x14ac:dyDescent="0.25">
      <c r="A101">
        <v>12</v>
      </c>
      <c r="B101" t="s">
        <v>77</v>
      </c>
      <c r="C101">
        <v>42</v>
      </c>
    </row>
    <row r="102" spans="1:3" x14ac:dyDescent="0.25">
      <c r="A102">
        <v>13</v>
      </c>
      <c r="B102" t="s">
        <v>68</v>
      </c>
      <c r="C102">
        <v>68</v>
      </c>
    </row>
    <row r="103" spans="1:3" x14ac:dyDescent="0.25">
      <c r="A103">
        <v>14</v>
      </c>
      <c r="B103" t="s">
        <v>75</v>
      </c>
      <c r="C103">
        <v>78</v>
      </c>
    </row>
    <row r="104" spans="1:3" x14ac:dyDescent="0.25">
      <c r="A104">
        <v>15</v>
      </c>
      <c r="B104" t="s">
        <v>82</v>
      </c>
      <c r="C104">
        <v>69</v>
      </c>
    </row>
    <row r="105" spans="1:3" x14ac:dyDescent="0.25">
      <c r="A105">
        <v>16</v>
      </c>
      <c r="B105" t="s">
        <v>83</v>
      </c>
      <c r="C105">
        <v>41</v>
      </c>
    </row>
    <row r="106" spans="1:3" x14ac:dyDescent="0.25">
      <c r="A106">
        <v>17</v>
      </c>
      <c r="B106" t="s">
        <v>72</v>
      </c>
      <c r="C106">
        <v>32</v>
      </c>
    </row>
    <row r="107" spans="1:3" x14ac:dyDescent="0.25">
      <c r="A107">
        <v>18</v>
      </c>
      <c r="B107" t="s">
        <v>84</v>
      </c>
      <c r="C107">
        <v>84</v>
      </c>
    </row>
    <row r="108" spans="1:3" x14ac:dyDescent="0.25">
      <c r="A108">
        <v>19</v>
      </c>
      <c r="B108" t="s">
        <v>85</v>
      </c>
      <c r="C108">
        <v>78</v>
      </c>
    </row>
    <row r="109" spans="1:3" x14ac:dyDescent="0.25">
      <c r="A109">
        <v>20</v>
      </c>
      <c r="B109" t="s">
        <v>86</v>
      </c>
      <c r="C109">
        <v>95</v>
      </c>
    </row>
    <row r="111" spans="1:3" x14ac:dyDescent="0.25">
      <c r="A111" t="s">
        <v>9</v>
      </c>
      <c r="B111" t="s">
        <v>64</v>
      </c>
      <c r="C111" t="s">
        <v>65</v>
      </c>
    </row>
    <row r="112" spans="1:3" x14ac:dyDescent="0.25">
      <c r="A112">
        <v>1</v>
      </c>
      <c r="B112" t="s">
        <v>68</v>
      </c>
      <c r="C112">
        <v>10</v>
      </c>
    </row>
    <row r="113" spans="1:3" x14ac:dyDescent="0.25">
      <c r="A113">
        <v>2</v>
      </c>
      <c r="B113" t="s">
        <v>69</v>
      </c>
      <c r="C113">
        <v>12</v>
      </c>
    </row>
    <row r="114" spans="1:3" x14ac:dyDescent="0.25">
      <c r="A114">
        <v>3</v>
      </c>
      <c r="B114" t="s">
        <v>70</v>
      </c>
      <c r="C114">
        <v>5</v>
      </c>
    </row>
    <row r="115" spans="1:3" x14ac:dyDescent="0.25">
      <c r="A115">
        <v>4</v>
      </c>
      <c r="B115" t="s">
        <v>71</v>
      </c>
      <c r="C115">
        <v>6</v>
      </c>
    </row>
    <row r="116" spans="1:3" x14ac:dyDescent="0.25">
      <c r="A116">
        <v>5</v>
      </c>
      <c r="B116" t="s">
        <v>72</v>
      </c>
      <c r="C116">
        <v>21</v>
      </c>
    </row>
    <row r="117" spans="1:3" x14ac:dyDescent="0.25">
      <c r="A117">
        <v>6</v>
      </c>
      <c r="B117" t="s">
        <v>73</v>
      </c>
      <c r="C117">
        <v>15</v>
      </c>
    </row>
    <row r="118" spans="1:3" x14ac:dyDescent="0.25">
      <c r="A118">
        <v>7</v>
      </c>
      <c r="B118" t="s">
        <v>74</v>
      </c>
      <c r="C118">
        <v>5</v>
      </c>
    </row>
    <row r="119" spans="1:3" x14ac:dyDescent="0.25">
      <c r="A119">
        <v>8</v>
      </c>
      <c r="B119" t="s">
        <v>75</v>
      </c>
      <c r="C119">
        <v>8</v>
      </c>
    </row>
    <row r="120" spans="1:3" x14ac:dyDescent="0.25">
      <c r="A120">
        <v>9</v>
      </c>
      <c r="B120" t="s">
        <v>76</v>
      </c>
      <c r="C120">
        <v>12</v>
      </c>
    </row>
    <row r="121" spans="1:3" x14ac:dyDescent="0.25">
      <c r="A121">
        <v>10</v>
      </c>
      <c r="B121" t="s">
        <v>77</v>
      </c>
      <c r="C121">
        <v>35</v>
      </c>
    </row>
    <row r="122" spans="1:3" x14ac:dyDescent="0.25">
      <c r="A122">
        <v>11</v>
      </c>
      <c r="B122" t="s">
        <v>68</v>
      </c>
      <c r="C122">
        <v>26</v>
      </c>
    </row>
    <row r="123" spans="1:3" x14ac:dyDescent="0.25">
      <c r="A123">
        <v>12</v>
      </c>
      <c r="B123" t="s">
        <v>69</v>
      </c>
      <c r="C123">
        <v>12</v>
      </c>
    </row>
    <row r="124" spans="1:3" x14ac:dyDescent="0.25">
      <c r="A124">
        <v>13</v>
      </c>
      <c r="B124" t="s">
        <v>70</v>
      </c>
      <c r="C124">
        <v>5</v>
      </c>
    </row>
    <row r="125" spans="1:3" x14ac:dyDescent="0.25">
      <c r="A125">
        <v>14</v>
      </c>
      <c r="B125" t="s">
        <v>71</v>
      </c>
      <c r="C125">
        <v>3</v>
      </c>
    </row>
    <row r="126" spans="1:3" x14ac:dyDescent="0.25">
      <c r="A126">
        <v>15</v>
      </c>
      <c r="B126" t="s">
        <v>72</v>
      </c>
      <c r="C126">
        <v>4</v>
      </c>
    </row>
    <row r="127" spans="1:3" x14ac:dyDescent="0.25">
      <c r="A127">
        <v>16</v>
      </c>
      <c r="B127" t="s">
        <v>73</v>
      </c>
      <c r="C127">
        <v>20</v>
      </c>
    </row>
    <row r="128" spans="1:3" x14ac:dyDescent="0.25">
      <c r="A128">
        <v>17</v>
      </c>
      <c r="B128" t="s">
        <v>74</v>
      </c>
      <c r="C128">
        <v>1</v>
      </c>
    </row>
    <row r="129" spans="1:3" x14ac:dyDescent="0.25">
      <c r="A129">
        <v>18</v>
      </c>
      <c r="B129" t="s">
        <v>75</v>
      </c>
      <c r="C129">
        <v>6</v>
      </c>
    </row>
    <row r="130" spans="1:3" x14ac:dyDescent="0.25">
      <c r="A130">
        <v>19</v>
      </c>
      <c r="B130" t="s">
        <v>76</v>
      </c>
      <c r="C130">
        <v>7</v>
      </c>
    </row>
    <row r="131" spans="1:3" x14ac:dyDescent="0.25">
      <c r="B131" t="s">
        <v>77</v>
      </c>
      <c r="C131">
        <v>20</v>
      </c>
    </row>
    <row r="133" spans="1:3" x14ac:dyDescent="0.25">
      <c r="A133" t="s">
        <v>9</v>
      </c>
      <c r="B133" t="s">
        <v>108</v>
      </c>
      <c r="C133" t="s">
        <v>172</v>
      </c>
    </row>
    <row r="134" spans="1:3" x14ac:dyDescent="0.25">
      <c r="A134">
        <v>1</v>
      </c>
      <c r="B134" t="s">
        <v>109</v>
      </c>
      <c r="C134" s="8">
        <v>99</v>
      </c>
    </row>
    <row r="135" spans="1:3" x14ac:dyDescent="0.25">
      <c r="A135">
        <v>2</v>
      </c>
      <c r="B135" t="s">
        <v>110</v>
      </c>
      <c r="C135" s="8">
        <v>95</v>
      </c>
    </row>
    <row r="136" spans="1:3" x14ac:dyDescent="0.25">
      <c r="A136">
        <v>3</v>
      </c>
      <c r="B136" t="s">
        <v>111</v>
      </c>
      <c r="C136" s="8">
        <v>24</v>
      </c>
    </row>
    <row r="137" spans="1:3" x14ac:dyDescent="0.25">
      <c r="A137">
        <v>4</v>
      </c>
      <c r="B137" t="s">
        <v>112</v>
      </c>
      <c r="C137" s="8">
        <v>65</v>
      </c>
    </row>
    <row r="138" spans="1:3" x14ac:dyDescent="0.25">
      <c r="A138">
        <v>5</v>
      </c>
      <c r="B138" t="s">
        <v>26</v>
      </c>
      <c r="C138" s="8">
        <v>96</v>
      </c>
    </row>
    <row r="139" spans="1:3" x14ac:dyDescent="0.25">
      <c r="A139">
        <v>6</v>
      </c>
      <c r="B139" t="s">
        <v>113</v>
      </c>
      <c r="C139" s="8">
        <v>58</v>
      </c>
    </row>
    <row r="140" spans="1:3" x14ac:dyDescent="0.25">
      <c r="A140">
        <v>7</v>
      </c>
      <c r="B140" t="s">
        <v>114</v>
      </c>
      <c r="C140" s="8">
        <v>25</v>
      </c>
    </row>
    <row r="141" spans="1:3" x14ac:dyDescent="0.25">
      <c r="A141">
        <v>8</v>
      </c>
      <c r="B141" t="s">
        <v>115</v>
      </c>
      <c r="C141" s="8">
        <v>24</v>
      </c>
    </row>
    <row r="142" spans="1:3" x14ac:dyDescent="0.25">
      <c r="A142">
        <v>9</v>
      </c>
      <c r="B142" t="s">
        <v>116</v>
      </c>
      <c r="C142" s="8">
        <v>65</v>
      </c>
    </row>
    <row r="143" spans="1:3" x14ac:dyDescent="0.25">
      <c r="A143">
        <v>10</v>
      </c>
      <c r="B143" t="s">
        <v>117</v>
      </c>
      <c r="C143" s="8">
        <v>58</v>
      </c>
    </row>
    <row r="144" spans="1:3" x14ac:dyDescent="0.25">
      <c r="A144">
        <v>11</v>
      </c>
      <c r="B144" t="s">
        <v>118</v>
      </c>
      <c r="C144" s="8">
        <v>78</v>
      </c>
    </row>
    <row r="145" spans="1:3" x14ac:dyDescent="0.25">
      <c r="A145">
        <v>12</v>
      </c>
      <c r="B145" t="s">
        <v>119</v>
      </c>
      <c r="C145" s="8">
        <v>59</v>
      </c>
    </row>
    <row r="146" spans="1:3" x14ac:dyDescent="0.25">
      <c r="A146">
        <v>13</v>
      </c>
      <c r="B146" t="s">
        <v>37</v>
      </c>
      <c r="C146" s="8">
        <v>56</v>
      </c>
    </row>
    <row r="147" spans="1:3" x14ac:dyDescent="0.25">
      <c r="A147">
        <v>14</v>
      </c>
      <c r="B147" t="s">
        <v>42</v>
      </c>
      <c r="C147" s="8">
        <v>75</v>
      </c>
    </row>
    <row r="148" spans="1:3" x14ac:dyDescent="0.25">
      <c r="A148">
        <v>15</v>
      </c>
      <c r="B148" t="s">
        <v>120</v>
      </c>
      <c r="C148" s="8">
        <v>99</v>
      </c>
    </row>
    <row r="149" spans="1:3" x14ac:dyDescent="0.25">
      <c r="A149">
        <v>16</v>
      </c>
      <c r="B149" t="s">
        <v>121</v>
      </c>
      <c r="C149" s="8">
        <v>55</v>
      </c>
    </row>
    <row r="150" spans="1:3" x14ac:dyDescent="0.25">
      <c r="A150">
        <v>17</v>
      </c>
      <c r="B150" t="s">
        <v>122</v>
      </c>
      <c r="C150" s="8">
        <v>65</v>
      </c>
    </row>
    <row r="151" spans="1:3" x14ac:dyDescent="0.25">
      <c r="A151">
        <v>18</v>
      </c>
      <c r="B151" t="s">
        <v>123</v>
      </c>
      <c r="C151" s="8">
        <v>48</v>
      </c>
    </row>
    <row r="153" spans="1:3" x14ac:dyDescent="0.25">
      <c r="C153" s="8"/>
    </row>
    <row r="156" spans="1:3" x14ac:dyDescent="0.25">
      <c r="A156" t="s">
        <v>9</v>
      </c>
      <c r="B156" t="s">
        <v>108</v>
      </c>
      <c r="C156" t="s">
        <v>174</v>
      </c>
    </row>
    <row r="157" spans="1:3" x14ac:dyDescent="0.25">
      <c r="A157">
        <v>1</v>
      </c>
      <c r="B157" t="s">
        <v>116</v>
      </c>
      <c r="C157">
        <v>4520</v>
      </c>
    </row>
    <row r="158" spans="1:3" x14ac:dyDescent="0.25">
      <c r="A158">
        <v>2</v>
      </c>
      <c r="B158" t="s">
        <v>117</v>
      </c>
      <c r="C158">
        <v>245</v>
      </c>
    </row>
    <row r="159" spans="1:3" x14ac:dyDescent="0.25">
      <c r="A159">
        <v>3</v>
      </c>
      <c r="B159" t="s">
        <v>118</v>
      </c>
      <c r="C159">
        <v>658</v>
      </c>
    </row>
    <row r="160" spans="1:3" x14ac:dyDescent="0.25">
      <c r="A160">
        <v>4</v>
      </c>
      <c r="B160" t="s">
        <v>119</v>
      </c>
      <c r="C160">
        <v>86</v>
      </c>
    </row>
    <row r="161" spans="1:5" x14ac:dyDescent="0.25">
      <c r="A161">
        <v>5</v>
      </c>
      <c r="B161" t="s">
        <v>37</v>
      </c>
      <c r="C161">
        <v>357</v>
      </c>
    </row>
    <row r="162" spans="1:5" x14ac:dyDescent="0.25">
      <c r="A162">
        <v>6</v>
      </c>
      <c r="B162" t="s">
        <v>42</v>
      </c>
      <c r="C162">
        <v>1653</v>
      </c>
    </row>
    <row r="163" spans="1:5" x14ac:dyDescent="0.25">
      <c r="A163">
        <v>7</v>
      </c>
      <c r="B163" t="s">
        <v>120</v>
      </c>
      <c r="C163">
        <v>1500</v>
      </c>
    </row>
    <row r="164" spans="1:5" x14ac:dyDescent="0.25">
      <c r="A164">
        <v>8</v>
      </c>
      <c r="B164" t="s">
        <v>121</v>
      </c>
      <c r="C164">
        <v>17000</v>
      </c>
    </row>
    <row r="165" spans="1:5" x14ac:dyDescent="0.25">
      <c r="A165">
        <v>9</v>
      </c>
      <c r="B165" t="s">
        <v>122</v>
      </c>
      <c r="C165">
        <v>9852</v>
      </c>
    </row>
    <row r="166" spans="1:5" x14ac:dyDescent="0.25">
      <c r="A166">
        <v>10</v>
      </c>
      <c r="B166" t="s">
        <v>123</v>
      </c>
      <c r="C166">
        <v>1254</v>
      </c>
    </row>
    <row r="169" spans="1:5" x14ac:dyDescent="0.25">
      <c r="A169" s="3" t="s">
        <v>9</v>
      </c>
      <c r="B169" s="3" t="s">
        <v>131</v>
      </c>
      <c r="C169" s="3" t="s">
        <v>132</v>
      </c>
      <c r="D169" s="3" t="s">
        <v>133</v>
      </c>
      <c r="E169" s="3" t="s">
        <v>134</v>
      </c>
    </row>
    <row r="170" spans="1:5" x14ac:dyDescent="0.25">
      <c r="A170" s="3">
        <v>1</v>
      </c>
      <c r="B170" s="7" t="s">
        <v>109</v>
      </c>
      <c r="C170" s="8">
        <v>69</v>
      </c>
      <c r="D170" s="8">
        <v>98</v>
      </c>
      <c r="E170" s="8">
        <v>78</v>
      </c>
    </row>
    <row r="171" spans="1:5" x14ac:dyDescent="0.25">
      <c r="A171" s="3">
        <v>2</v>
      </c>
      <c r="B171" s="7" t="s">
        <v>110</v>
      </c>
      <c r="C171" s="8">
        <v>54</v>
      </c>
      <c r="D171" s="8">
        <v>87</v>
      </c>
      <c r="E171" s="8">
        <v>65</v>
      </c>
    </row>
    <row r="172" spans="1:5" x14ac:dyDescent="0.25">
      <c r="A172" s="3">
        <v>3</v>
      </c>
      <c r="B172" s="7" t="s">
        <v>111</v>
      </c>
      <c r="C172" s="8">
        <v>74</v>
      </c>
      <c r="D172" s="8">
        <v>89</v>
      </c>
      <c r="E172" s="8">
        <v>32</v>
      </c>
    </row>
    <row r="173" spans="1:5" x14ac:dyDescent="0.25">
      <c r="A173" s="3">
        <v>4</v>
      </c>
      <c r="B173" s="7" t="s">
        <v>112</v>
      </c>
      <c r="C173" s="8">
        <v>35</v>
      </c>
      <c r="D173" s="8">
        <v>95</v>
      </c>
      <c r="E173" s="8">
        <v>78</v>
      </c>
    </row>
    <row r="174" spans="1:5" x14ac:dyDescent="0.25">
      <c r="A174" s="3">
        <v>5</v>
      </c>
      <c r="B174" s="7" t="s">
        <v>26</v>
      </c>
      <c r="C174" s="8">
        <v>64</v>
      </c>
      <c r="D174" s="8">
        <v>63</v>
      </c>
      <c r="E174" s="8">
        <v>95</v>
      </c>
    </row>
    <row r="175" spans="1:5" x14ac:dyDescent="0.25">
      <c r="A175" s="3">
        <v>6</v>
      </c>
      <c r="B175" s="7" t="s">
        <v>113</v>
      </c>
      <c r="C175" s="8">
        <v>56</v>
      </c>
      <c r="D175" s="8">
        <v>35</v>
      </c>
      <c r="E175" s="8">
        <v>64</v>
      </c>
    </row>
    <row r="176" spans="1:5" x14ac:dyDescent="0.25">
      <c r="A176" s="3">
        <v>7</v>
      </c>
      <c r="B176" s="7" t="s">
        <v>114</v>
      </c>
      <c r="C176" s="8">
        <v>32</v>
      </c>
      <c r="D176" s="8">
        <v>42</v>
      </c>
      <c r="E176" s="8">
        <v>57</v>
      </c>
    </row>
    <row r="177" spans="1:5" x14ac:dyDescent="0.25">
      <c r="A177" s="3">
        <v>8</v>
      </c>
      <c r="B177" s="7" t="s">
        <v>143</v>
      </c>
      <c r="C177" s="8">
        <v>21</v>
      </c>
      <c r="D177" s="8">
        <v>23</v>
      </c>
      <c r="E177" s="8">
        <v>37</v>
      </c>
    </row>
    <row r="178" spans="1:5" x14ac:dyDescent="0.25">
      <c r="A178" s="3">
        <v>9</v>
      </c>
      <c r="B178" s="7" t="s">
        <v>116</v>
      </c>
      <c r="C178" s="8">
        <v>25</v>
      </c>
      <c r="D178" s="8">
        <v>35</v>
      </c>
      <c r="E178" s="8">
        <v>59</v>
      </c>
    </row>
    <row r="179" spans="1:5" x14ac:dyDescent="0.25">
      <c r="A179" s="3">
        <v>10</v>
      </c>
      <c r="B179" s="7" t="s">
        <v>117</v>
      </c>
      <c r="C179" s="8">
        <v>38</v>
      </c>
      <c r="D179" s="8">
        <v>96</v>
      </c>
      <c r="E179" s="8">
        <v>57</v>
      </c>
    </row>
    <row r="180" spans="1:5" x14ac:dyDescent="0.25">
      <c r="A180" s="3">
        <v>11</v>
      </c>
      <c r="B180" s="7" t="s">
        <v>118</v>
      </c>
      <c r="C180" s="8">
        <v>56</v>
      </c>
      <c r="D180" s="8">
        <v>87</v>
      </c>
      <c r="E180" s="8">
        <v>68</v>
      </c>
    </row>
    <row r="181" spans="1:5" x14ac:dyDescent="0.25">
      <c r="A181" s="3">
        <v>12</v>
      </c>
      <c r="B181" s="7" t="s">
        <v>119</v>
      </c>
      <c r="C181" s="8">
        <v>95</v>
      </c>
      <c r="D181" s="8">
        <v>96</v>
      </c>
      <c r="E181" s="8">
        <v>53</v>
      </c>
    </row>
    <row r="182" spans="1:5" x14ac:dyDescent="0.25">
      <c r="A182" s="3">
        <v>13</v>
      </c>
      <c r="B182" s="7" t="s">
        <v>37</v>
      </c>
      <c r="C182" s="8">
        <v>47</v>
      </c>
      <c r="D182" s="8">
        <v>65</v>
      </c>
      <c r="E182" s="8">
        <v>75</v>
      </c>
    </row>
    <row r="183" spans="1:5" x14ac:dyDescent="0.25">
      <c r="A183" s="3">
        <v>14</v>
      </c>
      <c r="B183" s="7" t="s">
        <v>42</v>
      </c>
      <c r="C183" s="8">
        <v>89</v>
      </c>
      <c r="D183" s="8">
        <v>54</v>
      </c>
      <c r="E183" s="8">
        <v>54</v>
      </c>
    </row>
    <row r="184" spans="1:5" x14ac:dyDescent="0.25">
      <c r="A184" s="3">
        <v>15</v>
      </c>
      <c r="B184" s="7" t="s">
        <v>120</v>
      </c>
      <c r="C184" s="8">
        <v>35</v>
      </c>
      <c r="D184" s="8">
        <v>24</v>
      </c>
      <c r="E184" s="8">
        <v>68</v>
      </c>
    </row>
  </sheetData>
  <mergeCells count="1">
    <mergeCell ref="E2:Q3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opLeftCell="A106" workbookViewId="0">
      <selection activeCell="F89" sqref="F89"/>
    </sheetView>
  </sheetViews>
  <sheetFormatPr defaultRowHeight="15" x14ac:dyDescent="0.25"/>
  <cols>
    <col min="1" max="1" width="17.5703125" customWidth="1"/>
    <col min="2" max="2" width="11.140625" customWidth="1"/>
    <col min="3" max="3" width="15.5703125" bestFit="1" customWidth="1"/>
    <col min="4" max="4" width="14.140625" customWidth="1"/>
    <col min="6" max="6" width="14.5703125" customWidth="1"/>
    <col min="7" max="7" width="10.7109375" customWidth="1"/>
    <col min="8" max="8" width="12.5703125" customWidth="1"/>
    <col min="9" max="9" width="14.5703125" customWidth="1"/>
  </cols>
  <sheetData>
    <row r="1" spans="1:11" x14ac:dyDescent="0.25">
      <c r="E1" s="40" t="s">
        <v>231</v>
      </c>
      <c r="F1" s="41"/>
      <c r="G1" s="41"/>
      <c r="H1" s="41"/>
      <c r="I1" s="41"/>
      <c r="J1" s="41"/>
      <c r="K1" s="41"/>
    </row>
    <row r="2" spans="1:11" x14ac:dyDescent="0.25">
      <c r="E2" s="41"/>
      <c r="F2" s="41"/>
      <c r="G2" s="41"/>
      <c r="H2" s="41"/>
      <c r="I2" s="41"/>
      <c r="J2" s="41"/>
      <c r="K2" s="41"/>
    </row>
    <row r="3" spans="1:11" x14ac:dyDescent="0.25">
      <c r="E3" s="41"/>
      <c r="F3" s="41"/>
      <c r="G3" s="41"/>
      <c r="H3" s="41"/>
      <c r="I3" s="41"/>
      <c r="J3" s="41"/>
      <c r="K3" s="41"/>
    </row>
    <row r="7" spans="1:11" x14ac:dyDescent="0.25">
      <c r="A7" t="s">
        <v>67</v>
      </c>
      <c r="B7">
        <v>700000</v>
      </c>
      <c r="E7" t="s">
        <v>9</v>
      </c>
      <c r="F7" t="s">
        <v>234</v>
      </c>
      <c r="G7" t="s">
        <v>235</v>
      </c>
      <c r="H7" t="s">
        <v>236</v>
      </c>
      <c r="I7" t="s">
        <v>237</v>
      </c>
    </row>
    <row r="8" spans="1:11" x14ac:dyDescent="0.25">
      <c r="A8" t="s">
        <v>232</v>
      </c>
      <c r="B8" s="14">
        <v>0.2</v>
      </c>
      <c r="E8">
        <v>1</v>
      </c>
      <c r="F8" s="15">
        <f>-PMT($B$8/12,$B$9,$B$7)</f>
        <v>64844.154127956019</v>
      </c>
      <c r="G8" s="15">
        <f>B7*B8/12</f>
        <v>11666.666666666666</v>
      </c>
      <c r="H8" s="15">
        <f>F8-G8</f>
        <v>53177.487461289355</v>
      </c>
      <c r="I8" s="15">
        <f>B7-H8</f>
        <v>646822.51253871061</v>
      </c>
    </row>
    <row r="9" spans="1:11" x14ac:dyDescent="0.25">
      <c r="A9" t="s">
        <v>233</v>
      </c>
      <c r="B9">
        <v>12</v>
      </c>
      <c r="E9">
        <v>2</v>
      </c>
      <c r="F9" s="15">
        <f t="shared" ref="F9:F19" si="0">-PMT($B$8/12,$B$9,$B$7)</f>
        <v>64844.154127956019</v>
      </c>
      <c r="G9" s="15">
        <f>I8*B8/12</f>
        <v>10780.37520897851</v>
      </c>
      <c r="H9" s="15">
        <f>F9-G9</f>
        <v>54063.778918977507</v>
      </c>
      <c r="I9" s="15">
        <f>I8-H9</f>
        <v>592758.73361973313</v>
      </c>
    </row>
    <row r="10" spans="1:11" x14ac:dyDescent="0.25">
      <c r="E10">
        <v>3</v>
      </c>
      <c r="F10" s="15">
        <f t="shared" si="0"/>
        <v>64844.154127956019</v>
      </c>
      <c r="G10" s="15">
        <f>I9*B8/12</f>
        <v>9879.3122269955529</v>
      </c>
      <c r="H10" s="15">
        <f>F10-G10</f>
        <v>54964.84190096047</v>
      </c>
      <c r="I10" s="15">
        <f>I9-H10</f>
        <v>537793.89171877271</v>
      </c>
    </row>
    <row r="11" spans="1:11" x14ac:dyDescent="0.25">
      <c r="E11">
        <v>4</v>
      </c>
      <c r="F11" s="15">
        <f t="shared" si="0"/>
        <v>64844.154127956019</v>
      </c>
      <c r="G11" s="15">
        <f>B8*I10/12</f>
        <v>8963.2315286462126</v>
      </c>
      <c r="H11" s="15">
        <f>F11-G11</f>
        <v>55880.922599309808</v>
      </c>
      <c r="I11" s="15">
        <f>I10-H11</f>
        <v>481912.96911946288</v>
      </c>
    </row>
    <row r="12" spans="1:11" x14ac:dyDescent="0.25">
      <c r="E12">
        <v>5</v>
      </c>
      <c r="F12" s="15">
        <f t="shared" si="0"/>
        <v>64844.154127956019</v>
      </c>
      <c r="G12" s="15">
        <f>B8*I11/12</f>
        <v>8031.8828186577157</v>
      </c>
      <c r="H12" s="15">
        <f>F12-G12</f>
        <v>56812.271309298303</v>
      </c>
      <c r="I12" s="15">
        <f>I11-H12</f>
        <v>425100.69781016459</v>
      </c>
    </row>
    <row r="13" spans="1:11" x14ac:dyDescent="0.25">
      <c r="E13">
        <v>6</v>
      </c>
      <c r="F13" s="15">
        <f t="shared" si="0"/>
        <v>64844.154127956019</v>
      </c>
      <c r="G13" s="15">
        <f>I12*B8/12</f>
        <v>7085.0116301694106</v>
      </c>
      <c r="H13" s="15">
        <f>F13 -G13</f>
        <v>57759.142497786612</v>
      </c>
      <c r="I13" s="15">
        <f>I12-H13</f>
        <v>367341.55531237798</v>
      </c>
    </row>
    <row r="14" spans="1:11" x14ac:dyDescent="0.25">
      <c r="E14">
        <v>7</v>
      </c>
      <c r="F14" s="15">
        <f t="shared" si="0"/>
        <v>64844.154127956019</v>
      </c>
      <c r="G14" s="15">
        <f>B8*I13/12</f>
        <v>6122.3592552062992</v>
      </c>
      <c r="H14" s="15">
        <f t="shared" ref="H14:H19" si="1">F14-G14</f>
        <v>58721.794872749721</v>
      </c>
      <c r="I14" s="15">
        <f t="shared" ref="I14:I19" si="2">I13-H14</f>
        <v>308619.76043962827</v>
      </c>
    </row>
    <row r="15" spans="1:11" x14ac:dyDescent="0.25">
      <c r="E15">
        <v>8</v>
      </c>
      <c r="F15" s="15">
        <f t="shared" si="0"/>
        <v>64844.154127956019</v>
      </c>
      <c r="G15" s="15">
        <f>B8*I14/12</f>
        <v>5143.6626739938047</v>
      </c>
      <c r="H15" s="15">
        <f t="shared" si="1"/>
        <v>59700.491453962211</v>
      </c>
      <c r="I15" s="15">
        <f>I14-H15</f>
        <v>248919.26898566604</v>
      </c>
    </row>
    <row r="16" spans="1:11" x14ac:dyDescent="0.25">
      <c r="E16">
        <v>9</v>
      </c>
      <c r="F16" s="15">
        <f t="shared" si="0"/>
        <v>64844.154127956019</v>
      </c>
      <c r="G16" s="15">
        <f>B8*I15/12</f>
        <v>4148.654483094434</v>
      </c>
      <c r="H16" s="15">
        <f>F16-G16</f>
        <v>60695.499644861586</v>
      </c>
      <c r="I16" s="15">
        <f t="shared" si="2"/>
        <v>188223.76934080446</v>
      </c>
    </row>
    <row r="17" spans="1:10" x14ac:dyDescent="0.25">
      <c r="E17">
        <v>10</v>
      </c>
      <c r="F17" s="15">
        <f t="shared" si="0"/>
        <v>64844.154127956019</v>
      </c>
      <c r="G17" s="15">
        <f>B8*I16/12</f>
        <v>3137.0628223467411</v>
      </c>
      <c r="H17" s="15">
        <f t="shared" si="1"/>
        <v>61707.091305609276</v>
      </c>
      <c r="I17" s="15">
        <f t="shared" si="2"/>
        <v>126516.67803519519</v>
      </c>
    </row>
    <row r="18" spans="1:10" x14ac:dyDescent="0.25">
      <c r="E18">
        <v>11</v>
      </c>
      <c r="F18" s="15">
        <f t="shared" si="0"/>
        <v>64844.154127956019</v>
      </c>
      <c r="G18" s="15">
        <f>B8*I17/12</f>
        <v>2108.6113005865868</v>
      </c>
      <c r="H18" s="15">
        <f t="shared" si="1"/>
        <v>62735.542827369434</v>
      </c>
      <c r="I18" s="15">
        <f t="shared" si="2"/>
        <v>63781.135207825755</v>
      </c>
    </row>
    <row r="19" spans="1:10" x14ac:dyDescent="0.25">
      <c r="E19">
        <v>12</v>
      </c>
      <c r="F19" s="15">
        <f t="shared" si="0"/>
        <v>64844.154127956019</v>
      </c>
      <c r="G19" s="15">
        <f>B8*I18/12</f>
        <v>1063.0189201304293</v>
      </c>
      <c r="H19" s="15">
        <f t="shared" si="1"/>
        <v>63781.135207825588</v>
      </c>
      <c r="I19" s="15">
        <f t="shared" si="2"/>
        <v>1.673470251262188E-10</v>
      </c>
    </row>
    <row r="20" spans="1:10" x14ac:dyDescent="0.25">
      <c r="F20" s="15"/>
      <c r="G20" s="15"/>
      <c r="H20" s="15"/>
      <c r="I20" s="15"/>
    </row>
    <row r="21" spans="1:10" x14ac:dyDescent="0.25">
      <c r="F21" s="42" t="s">
        <v>238</v>
      </c>
      <c r="G21" s="43"/>
      <c r="H21" s="43"/>
      <c r="I21" s="43"/>
      <c r="J21" s="43"/>
    </row>
    <row r="22" spans="1:10" x14ac:dyDescent="0.25">
      <c r="F22" s="43"/>
      <c r="G22" s="43"/>
      <c r="H22" s="43"/>
      <c r="I22" s="43"/>
      <c r="J22" s="43"/>
    </row>
    <row r="23" spans="1:10" x14ac:dyDescent="0.25">
      <c r="A23" t="s">
        <v>67</v>
      </c>
      <c r="B23">
        <v>500000</v>
      </c>
      <c r="E23" t="s">
        <v>9</v>
      </c>
      <c r="F23" s="15" t="s">
        <v>234</v>
      </c>
      <c r="G23" s="15" t="s">
        <v>235</v>
      </c>
      <c r="H23" s="15" t="s">
        <v>236</v>
      </c>
      <c r="I23" s="15" t="s">
        <v>237</v>
      </c>
    </row>
    <row r="24" spans="1:10" x14ac:dyDescent="0.25">
      <c r="A24" t="s">
        <v>232</v>
      </c>
      <c r="B24" s="14">
        <v>0.15</v>
      </c>
      <c r="E24">
        <v>1</v>
      </c>
      <c r="F24" s="15">
        <f>-PMT($B$24/12,$B$25,$B$23)</f>
        <v>48934.196725954607</v>
      </c>
      <c r="G24" s="15">
        <f>B23*B24/12</f>
        <v>6250</v>
      </c>
      <c r="H24" s="15">
        <f t="shared" ref="H24:H34" si="3">F24-G24</f>
        <v>42684.196725954607</v>
      </c>
      <c r="I24" s="15">
        <f>B23-H24</f>
        <v>457315.80327404541</v>
      </c>
    </row>
    <row r="25" spans="1:10" x14ac:dyDescent="0.25">
      <c r="A25" t="s">
        <v>233</v>
      </c>
      <c r="B25">
        <v>11</v>
      </c>
      <c r="E25">
        <v>2</v>
      </c>
      <c r="F25" s="15">
        <f t="shared" ref="F25:F34" si="4">-PMT($B$24/12,$B$25,$B$23)</f>
        <v>48934.196725954607</v>
      </c>
      <c r="G25" s="15">
        <f>I24*B24/12</f>
        <v>5716.4475409255674</v>
      </c>
      <c r="H25" s="15">
        <f t="shared" si="3"/>
        <v>43217.749185029039</v>
      </c>
      <c r="I25" s="15">
        <f t="shared" ref="I25:I34" si="5">I24-H25</f>
        <v>414098.0540890164</v>
      </c>
    </row>
    <row r="26" spans="1:10" x14ac:dyDescent="0.25">
      <c r="E26">
        <v>3</v>
      </c>
      <c r="F26" s="15">
        <f t="shared" si="4"/>
        <v>48934.196725954607</v>
      </c>
      <c r="G26" s="15">
        <f>I25*B24/12</f>
        <v>5176.2256761127046</v>
      </c>
      <c r="H26" s="15">
        <f t="shared" si="3"/>
        <v>43757.971049841901</v>
      </c>
      <c r="I26" s="15">
        <f t="shared" si="5"/>
        <v>370340.0830391745</v>
      </c>
    </row>
    <row r="27" spans="1:10" x14ac:dyDescent="0.25">
      <c r="E27">
        <v>4</v>
      </c>
      <c r="F27" s="15">
        <f t="shared" si="4"/>
        <v>48934.196725954607</v>
      </c>
      <c r="G27" s="15">
        <f>I26*B24/12</f>
        <v>4629.2510379896812</v>
      </c>
      <c r="H27" s="15">
        <f t="shared" si="3"/>
        <v>44304.945687964922</v>
      </c>
      <c r="I27" s="15">
        <f t="shared" si="5"/>
        <v>326035.13735120959</v>
      </c>
    </row>
    <row r="28" spans="1:10" x14ac:dyDescent="0.25">
      <c r="E28">
        <v>5</v>
      </c>
      <c r="F28" s="15">
        <f t="shared" si="4"/>
        <v>48934.196725954607</v>
      </c>
      <c r="G28" s="15">
        <f>I27*B24/12</f>
        <v>4075.4392168901195</v>
      </c>
      <c r="H28" s="15">
        <f t="shared" si="3"/>
        <v>44858.75750906449</v>
      </c>
      <c r="I28" s="15">
        <f t="shared" si="5"/>
        <v>281176.37984214508</v>
      </c>
    </row>
    <row r="29" spans="1:10" x14ac:dyDescent="0.25">
      <c r="E29">
        <v>6</v>
      </c>
      <c r="F29" s="15">
        <f t="shared" si="4"/>
        <v>48934.196725954607</v>
      </c>
      <c r="G29" s="15">
        <f>I28*B24/12</f>
        <v>3514.7047480268134</v>
      </c>
      <c r="H29" s="15">
        <f t="shared" si="3"/>
        <v>45419.491977927792</v>
      </c>
      <c r="I29" s="15">
        <f t="shared" si="5"/>
        <v>235756.88786421728</v>
      </c>
    </row>
    <row r="30" spans="1:10" x14ac:dyDescent="0.25">
      <c r="E30">
        <v>7</v>
      </c>
      <c r="F30" s="15">
        <f t="shared" si="4"/>
        <v>48934.196725954607</v>
      </c>
      <c r="G30" s="15">
        <f>I29*B24/12</f>
        <v>2946.961098302716</v>
      </c>
      <c r="H30" s="15">
        <f t="shared" si="3"/>
        <v>45987.235627651891</v>
      </c>
      <c r="I30" s="15">
        <f t="shared" si="5"/>
        <v>189769.65223656539</v>
      </c>
    </row>
    <row r="31" spans="1:10" x14ac:dyDescent="0.25">
      <c r="E31">
        <v>8</v>
      </c>
      <c r="F31" s="15">
        <f t="shared" si="4"/>
        <v>48934.196725954607</v>
      </c>
      <c r="G31" s="15">
        <f>I30*B24/12</f>
        <v>2372.1206529570673</v>
      </c>
      <c r="H31" s="15">
        <f t="shared" si="3"/>
        <v>46562.076072997537</v>
      </c>
      <c r="I31" s="15">
        <f t="shared" si="5"/>
        <v>143207.57616356786</v>
      </c>
    </row>
    <row r="32" spans="1:10" x14ac:dyDescent="0.25">
      <c r="E32">
        <v>9</v>
      </c>
      <c r="F32" s="15">
        <f t="shared" si="4"/>
        <v>48934.196725954607</v>
      </c>
      <c r="G32" s="15">
        <f>I31*B24/12</f>
        <v>1790.0947020445983</v>
      </c>
      <c r="H32" s="15">
        <f t="shared" si="3"/>
        <v>47144.102023910011</v>
      </c>
      <c r="I32" s="15">
        <f t="shared" si="5"/>
        <v>96063.474139657861</v>
      </c>
    </row>
    <row r="33" spans="1:9" x14ac:dyDescent="0.25">
      <c r="E33">
        <v>10</v>
      </c>
      <c r="F33" s="15">
        <f t="shared" si="4"/>
        <v>48934.196725954607</v>
      </c>
      <c r="G33" s="15">
        <f>I32*B24/12</f>
        <v>1200.7934267457233</v>
      </c>
      <c r="H33" s="15">
        <f t="shared" si="3"/>
        <v>47733.403299208883</v>
      </c>
      <c r="I33" s="15">
        <f t="shared" si="5"/>
        <v>48330.070840448978</v>
      </c>
    </row>
    <row r="34" spans="1:9" x14ac:dyDescent="0.25">
      <c r="E34">
        <v>11</v>
      </c>
      <c r="F34" s="15">
        <f t="shared" si="4"/>
        <v>48934.196725954607</v>
      </c>
      <c r="G34" s="15">
        <f>I33*B24/12</f>
        <v>604.12588550561225</v>
      </c>
      <c r="H34" s="15">
        <f t="shared" si="3"/>
        <v>48330.070840448992</v>
      </c>
      <c r="I34" s="15">
        <f t="shared" si="5"/>
        <v>0</v>
      </c>
    </row>
    <row r="35" spans="1:9" x14ac:dyDescent="0.25">
      <c r="F35" s="44" t="s">
        <v>239</v>
      </c>
      <c r="G35" s="45"/>
      <c r="H35" s="45"/>
      <c r="I35" s="45"/>
    </row>
    <row r="36" spans="1:9" x14ac:dyDescent="0.25">
      <c r="F36" s="45"/>
      <c r="G36" s="45"/>
      <c r="H36" s="45"/>
      <c r="I36" s="45"/>
    </row>
    <row r="37" spans="1:9" x14ac:dyDescent="0.25">
      <c r="A37" t="s">
        <v>67</v>
      </c>
      <c r="B37">
        <v>800000</v>
      </c>
      <c r="E37" t="s">
        <v>9</v>
      </c>
      <c r="F37" t="s">
        <v>234</v>
      </c>
      <c r="G37" t="s">
        <v>235</v>
      </c>
      <c r="H37" t="s">
        <v>236</v>
      </c>
      <c r="I37" t="s">
        <v>237</v>
      </c>
    </row>
    <row r="38" spans="1:9" x14ac:dyDescent="0.25">
      <c r="A38" t="s">
        <v>232</v>
      </c>
      <c r="B38" s="14">
        <v>0.1</v>
      </c>
      <c r="E38">
        <v>1</v>
      </c>
      <c r="F38" s="15">
        <f>-PMT($B$38/12,$B$39,$B$37)</f>
        <v>83712.304791510847</v>
      </c>
      <c r="G38" s="15">
        <f>B37*B38/12</f>
        <v>6666.666666666667</v>
      </c>
      <c r="H38" s="15">
        <f t="shared" ref="H38:H47" si="6">F38-G38</f>
        <v>77045.638124844176</v>
      </c>
      <c r="I38" s="15">
        <f>B37-H38</f>
        <v>722954.36187515582</v>
      </c>
    </row>
    <row r="39" spans="1:9" x14ac:dyDescent="0.25">
      <c r="A39" t="s">
        <v>233</v>
      </c>
      <c r="B39">
        <v>10</v>
      </c>
      <c r="E39">
        <v>2</v>
      </c>
      <c r="F39" s="15">
        <f t="shared" ref="F39:F46" si="7">-PMT($B$38/12,$B$39,$B$37)</f>
        <v>83712.304791510847</v>
      </c>
      <c r="G39" s="15">
        <f>I38*B38/12</f>
        <v>6024.619682292966</v>
      </c>
      <c r="H39" s="15">
        <f t="shared" si="6"/>
        <v>77687.685109217884</v>
      </c>
      <c r="I39" s="15">
        <f t="shared" ref="I39:I47" si="8">I38-H39</f>
        <v>645266.67676593794</v>
      </c>
    </row>
    <row r="40" spans="1:9" x14ac:dyDescent="0.25">
      <c r="E40">
        <v>3</v>
      </c>
      <c r="F40" s="15">
        <f t="shared" si="7"/>
        <v>83712.304791510847</v>
      </c>
      <c r="G40" s="15">
        <f>I39*B38/12</f>
        <v>5377.222306382816</v>
      </c>
      <c r="H40" s="15">
        <f t="shared" si="6"/>
        <v>78335.082485128034</v>
      </c>
      <c r="I40" s="15">
        <f t="shared" si="8"/>
        <v>566931.59428080986</v>
      </c>
    </row>
    <row r="41" spans="1:9" x14ac:dyDescent="0.25">
      <c r="E41">
        <v>4</v>
      </c>
      <c r="F41" s="15">
        <f t="shared" si="7"/>
        <v>83712.304791510847</v>
      </c>
      <c r="G41" s="15">
        <f>I40*B38/12</f>
        <v>4724.4299523400823</v>
      </c>
      <c r="H41" s="15">
        <f t="shared" si="6"/>
        <v>78987.874839170763</v>
      </c>
      <c r="I41" s="15">
        <f t="shared" si="8"/>
        <v>487943.71944163908</v>
      </c>
    </row>
    <row r="42" spans="1:9" x14ac:dyDescent="0.25">
      <c r="E42">
        <v>5</v>
      </c>
      <c r="F42" s="15">
        <f t="shared" si="7"/>
        <v>83712.304791510847</v>
      </c>
      <c r="G42" s="15">
        <f>I41*B38/12</f>
        <v>4066.1976620136593</v>
      </c>
      <c r="H42" s="15">
        <f t="shared" si="6"/>
        <v>79646.107129497192</v>
      </c>
      <c r="I42" s="15">
        <f t="shared" si="8"/>
        <v>408297.61231214192</v>
      </c>
    </row>
    <row r="43" spans="1:9" x14ac:dyDescent="0.25">
      <c r="E43">
        <v>6</v>
      </c>
      <c r="F43" s="15">
        <f t="shared" si="7"/>
        <v>83712.304791510847</v>
      </c>
      <c r="G43" s="15">
        <f>I42*B38/12</f>
        <v>3402.4801026011828</v>
      </c>
      <c r="H43" s="15">
        <f t="shared" si="6"/>
        <v>80309.824688909663</v>
      </c>
      <c r="I43" s="15">
        <f t="shared" si="8"/>
        <v>327987.78762323223</v>
      </c>
    </row>
    <row r="44" spans="1:9" x14ac:dyDescent="0.25">
      <c r="E44">
        <v>7</v>
      </c>
      <c r="F44" s="15">
        <f t="shared" si="7"/>
        <v>83712.304791510847</v>
      </c>
      <c r="G44" s="15">
        <f>I43*B38/12</f>
        <v>2733.2315635269351</v>
      </c>
      <c r="H44" s="15">
        <f t="shared" si="6"/>
        <v>80979.073227983914</v>
      </c>
      <c r="I44" s="15">
        <f t="shared" si="8"/>
        <v>247008.71439524833</v>
      </c>
    </row>
    <row r="45" spans="1:9" x14ac:dyDescent="0.25">
      <c r="E45">
        <v>8</v>
      </c>
      <c r="F45" s="15">
        <f t="shared" si="7"/>
        <v>83712.304791510847</v>
      </c>
      <c r="G45" s="15">
        <f>I44*B38/12</f>
        <v>2058.4059532937363</v>
      </c>
      <c r="H45" s="15">
        <f t="shared" si="6"/>
        <v>81653.898838217108</v>
      </c>
      <c r="I45" s="15">
        <f t="shared" si="8"/>
        <v>165354.81555703122</v>
      </c>
    </row>
    <row r="46" spans="1:9" x14ac:dyDescent="0.25">
      <c r="E46">
        <v>9</v>
      </c>
      <c r="F46" s="15">
        <f t="shared" si="7"/>
        <v>83712.304791510847</v>
      </c>
      <c r="G46" s="15">
        <f>I45*B38/12</f>
        <v>1377.9567963085935</v>
      </c>
      <c r="H46" s="15">
        <f t="shared" si="6"/>
        <v>82334.347995202261</v>
      </c>
      <c r="I46" s="15">
        <f t="shared" si="8"/>
        <v>83020.467561828962</v>
      </c>
    </row>
    <row r="47" spans="1:9" x14ac:dyDescent="0.25">
      <c r="E47">
        <v>10</v>
      </c>
      <c r="F47" s="15">
        <f t="shared" ref="F47" si="9">-PMT($B$38/12,$B$39,$B$37)</f>
        <v>83712.304791510847</v>
      </c>
      <c r="G47" s="15">
        <f>I46*B38/12</f>
        <v>691.83722968190807</v>
      </c>
      <c r="H47" s="15">
        <f t="shared" si="6"/>
        <v>83020.467561828933</v>
      </c>
      <c r="I47" s="12">
        <f t="shared" si="8"/>
        <v>0</v>
      </c>
    </row>
    <row r="50" spans="1:10" x14ac:dyDescent="0.25">
      <c r="F50" s="46" t="s">
        <v>240</v>
      </c>
      <c r="G50" s="47"/>
      <c r="H50" s="47"/>
      <c r="I50" s="47"/>
      <c r="J50" s="47"/>
    </row>
    <row r="51" spans="1:10" x14ac:dyDescent="0.25">
      <c r="F51" s="47"/>
      <c r="G51" s="47"/>
      <c r="H51" s="47"/>
      <c r="I51" s="47"/>
      <c r="J51" s="47"/>
    </row>
    <row r="52" spans="1:10" x14ac:dyDescent="0.25">
      <c r="H52">
        <f>B54*B55/12</f>
        <v>833.33333333333337</v>
      </c>
    </row>
    <row r="54" spans="1:10" x14ac:dyDescent="0.25">
      <c r="A54" t="s">
        <v>67</v>
      </c>
      <c r="B54">
        <v>100000</v>
      </c>
      <c r="E54" t="s">
        <v>9</v>
      </c>
      <c r="F54" t="s">
        <v>234</v>
      </c>
      <c r="G54" t="s">
        <v>235</v>
      </c>
      <c r="H54" t="s">
        <v>236</v>
      </c>
      <c r="I54" t="s">
        <v>237</v>
      </c>
    </row>
    <row r="55" spans="1:10" x14ac:dyDescent="0.25">
      <c r="A55" t="s">
        <v>232</v>
      </c>
      <c r="B55" s="14">
        <v>0.1</v>
      </c>
      <c r="E55">
        <v>1</v>
      </c>
      <c r="F55" s="15">
        <f>-PMT($B$55/12,$B$56,$B$54)</f>
        <v>8791.5887230009594</v>
      </c>
      <c r="G55" s="15">
        <f>B54*B55/12</f>
        <v>833.33333333333337</v>
      </c>
      <c r="H55" s="15">
        <f t="shared" ref="H55:H66" si="10">F55-G55</f>
        <v>7958.2553896676263</v>
      </c>
      <c r="I55" s="15">
        <f>B54-H55</f>
        <v>92041.744610332375</v>
      </c>
    </row>
    <row r="56" spans="1:10" x14ac:dyDescent="0.25">
      <c r="A56" t="s">
        <v>233</v>
      </c>
      <c r="B56">
        <v>12</v>
      </c>
      <c r="E56">
        <v>2</v>
      </c>
      <c r="F56" s="15">
        <f t="shared" ref="F56:F66" si="11">-PMT($B$55/12,$B$56,$B$54)</f>
        <v>8791.5887230009594</v>
      </c>
      <c r="G56" s="15">
        <f>I55*B55/12</f>
        <v>767.01453841943646</v>
      </c>
      <c r="H56" s="15">
        <f t="shared" si="10"/>
        <v>8024.5741845815228</v>
      </c>
      <c r="I56" s="15">
        <f t="shared" ref="I56:I66" si="12">I55-H56</f>
        <v>84017.170425750854</v>
      </c>
    </row>
    <row r="57" spans="1:10" x14ac:dyDescent="0.25">
      <c r="E57">
        <v>3</v>
      </c>
      <c r="F57" s="15">
        <f t="shared" si="11"/>
        <v>8791.5887230009594</v>
      </c>
      <c r="G57" s="15">
        <f>I56*B55/12</f>
        <v>700.1430868812572</v>
      </c>
      <c r="H57" s="15">
        <f t="shared" si="10"/>
        <v>8091.4456361197026</v>
      </c>
      <c r="I57" s="15">
        <f t="shared" si="12"/>
        <v>75925.724789631146</v>
      </c>
    </row>
    <row r="58" spans="1:10" x14ac:dyDescent="0.25">
      <c r="E58">
        <v>4</v>
      </c>
      <c r="F58" s="15">
        <f t="shared" si="11"/>
        <v>8791.5887230009594</v>
      </c>
      <c r="G58" s="15">
        <f>I57*B55/12</f>
        <v>632.71437324692624</v>
      </c>
      <c r="H58" s="15">
        <f t="shared" si="10"/>
        <v>8158.8743497540327</v>
      </c>
      <c r="I58" s="15">
        <f t="shared" si="12"/>
        <v>67766.850439877118</v>
      </c>
    </row>
    <row r="59" spans="1:10" x14ac:dyDescent="0.25">
      <c r="E59">
        <v>5</v>
      </c>
      <c r="F59" s="15">
        <f t="shared" si="11"/>
        <v>8791.5887230009594</v>
      </c>
      <c r="G59" s="15">
        <f>I58*B55/12</f>
        <v>564.72375366564268</v>
      </c>
      <c r="H59" s="15">
        <f t="shared" si="10"/>
        <v>8226.8649693353163</v>
      </c>
      <c r="I59" s="15">
        <f t="shared" si="12"/>
        <v>59539.985470541804</v>
      </c>
    </row>
    <row r="60" spans="1:10" x14ac:dyDescent="0.25">
      <c r="E60">
        <v>6</v>
      </c>
      <c r="F60" s="15">
        <f t="shared" si="11"/>
        <v>8791.5887230009594</v>
      </c>
      <c r="G60" s="15">
        <f>I59*B55/12</f>
        <v>496.16654558784836</v>
      </c>
      <c r="H60" s="15">
        <f t="shared" si="10"/>
        <v>8295.4221774131111</v>
      </c>
      <c r="I60" s="15">
        <f t="shared" si="12"/>
        <v>51244.563293128696</v>
      </c>
    </row>
    <row r="61" spans="1:10" x14ac:dyDescent="0.25">
      <c r="E61">
        <v>7</v>
      </c>
      <c r="F61" s="15">
        <f t="shared" si="11"/>
        <v>8791.5887230009594</v>
      </c>
      <c r="G61" s="15">
        <f>I60*B55/12</f>
        <v>427.03802744273918</v>
      </c>
      <c r="H61" s="15">
        <f t="shared" si="10"/>
        <v>8364.5506955582205</v>
      </c>
      <c r="I61" s="15">
        <f t="shared" si="12"/>
        <v>42880.012597570472</v>
      </c>
    </row>
    <row r="62" spans="1:10" x14ac:dyDescent="0.25">
      <c r="E62">
        <v>8</v>
      </c>
      <c r="F62" s="15">
        <f t="shared" si="11"/>
        <v>8791.5887230009594</v>
      </c>
      <c r="G62" s="15">
        <f>I61*B55/12</f>
        <v>357.3334383130873</v>
      </c>
      <c r="H62" s="15">
        <f t="shared" si="10"/>
        <v>8434.2552846878716</v>
      </c>
      <c r="I62" s="15">
        <f t="shared" si="12"/>
        <v>34445.757312882604</v>
      </c>
    </row>
    <row r="63" spans="1:10" x14ac:dyDescent="0.25">
      <c r="E63">
        <v>9</v>
      </c>
      <c r="F63" s="15">
        <f t="shared" si="11"/>
        <v>8791.5887230009594</v>
      </c>
      <c r="G63" s="15">
        <f>I62*B55/12</f>
        <v>287.04797760735505</v>
      </c>
      <c r="H63" s="15">
        <f t="shared" si="10"/>
        <v>8504.5407453936041</v>
      </c>
      <c r="I63" s="15">
        <f t="shared" si="12"/>
        <v>25941.216567488998</v>
      </c>
    </row>
    <row r="64" spans="1:10" x14ac:dyDescent="0.25">
      <c r="E64">
        <v>10</v>
      </c>
      <c r="F64" s="15">
        <f t="shared" si="11"/>
        <v>8791.5887230009594</v>
      </c>
      <c r="G64" s="15">
        <f>I63*B55/12</f>
        <v>216.176804729075</v>
      </c>
      <c r="H64" s="15">
        <f t="shared" si="10"/>
        <v>8575.4119182718841</v>
      </c>
      <c r="I64" s="15">
        <f t="shared" si="12"/>
        <v>17365.804649217112</v>
      </c>
    </row>
    <row r="65" spans="1:15" x14ac:dyDescent="0.25">
      <c r="E65">
        <v>11</v>
      </c>
      <c r="F65" s="15">
        <f t="shared" si="11"/>
        <v>8791.5887230009594</v>
      </c>
      <c r="G65" s="15">
        <f>I64*B55/12</f>
        <v>144.71503874347596</v>
      </c>
      <c r="H65" s="15">
        <f t="shared" si="10"/>
        <v>8646.8736842574835</v>
      </c>
      <c r="I65" s="15">
        <f t="shared" si="12"/>
        <v>8718.9309649596289</v>
      </c>
    </row>
    <row r="66" spans="1:15" x14ac:dyDescent="0.25">
      <c r="E66">
        <v>12</v>
      </c>
      <c r="F66" s="15">
        <f t="shared" si="11"/>
        <v>8791.5887230009594</v>
      </c>
      <c r="G66" s="15">
        <f>I65*B55/12</f>
        <v>72.65775804133024</v>
      </c>
      <c r="H66" s="15">
        <f t="shared" si="10"/>
        <v>8718.9309649596289</v>
      </c>
      <c r="I66" s="15">
        <f t="shared" si="12"/>
        <v>0</v>
      </c>
    </row>
    <row r="70" spans="1:15" x14ac:dyDescent="0.25">
      <c r="A70" s="48" t="s">
        <v>241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</row>
    <row r="71" spans="1:15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</row>
    <row r="72" spans="1:15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</row>
    <row r="73" spans="1:15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</row>
    <row r="75" spans="1:15" x14ac:dyDescent="0.25">
      <c r="A75" t="s">
        <v>9</v>
      </c>
      <c r="B75" t="s">
        <v>108</v>
      </c>
      <c r="C75" t="s">
        <v>241</v>
      </c>
      <c r="D75" t="s">
        <v>242</v>
      </c>
    </row>
    <row r="76" spans="1:15" x14ac:dyDescent="0.25">
      <c r="A76">
        <v>1</v>
      </c>
      <c r="B76" t="s">
        <v>243</v>
      </c>
      <c r="C76" s="16">
        <v>7859234547</v>
      </c>
      <c r="D76" s="17">
        <v>5932455678</v>
      </c>
    </row>
    <row r="77" spans="1:15" x14ac:dyDescent="0.25">
      <c r="A77">
        <v>2</v>
      </c>
      <c r="B77" t="s">
        <v>244</v>
      </c>
      <c r="C77" s="16">
        <v>2654597814</v>
      </c>
      <c r="D77" s="17">
        <v>2598475165</v>
      </c>
    </row>
    <row r="78" spans="1:15" x14ac:dyDescent="0.25">
      <c r="A78">
        <v>3</v>
      </c>
      <c r="B78" t="s">
        <v>116</v>
      </c>
      <c r="C78" s="16">
        <v>3265984124</v>
      </c>
      <c r="D78" s="17">
        <v>6548242669</v>
      </c>
    </row>
    <row r="79" spans="1:15" x14ac:dyDescent="0.25">
      <c r="A79">
        <v>4</v>
      </c>
      <c r="B79" t="s">
        <v>117</v>
      </c>
      <c r="C79" s="16">
        <v>2695248212</v>
      </c>
      <c r="D79" s="17">
        <v>1478956426</v>
      </c>
    </row>
    <row r="80" spans="1:15" x14ac:dyDescent="0.25">
      <c r="A80">
        <v>5</v>
      </c>
      <c r="B80" t="s">
        <v>118</v>
      </c>
      <c r="C80" s="16">
        <v>5168256234</v>
      </c>
      <c r="D80" s="17">
        <v>849557259</v>
      </c>
    </row>
    <row r="81" spans="1:4" x14ac:dyDescent="0.25">
      <c r="A81">
        <v>6</v>
      </c>
      <c r="B81" t="s">
        <v>119</v>
      </c>
      <c r="C81" s="16">
        <v>1729752634</v>
      </c>
      <c r="D81" s="17">
        <v>1457629578</v>
      </c>
    </row>
    <row r="82" spans="1:4" x14ac:dyDescent="0.25">
      <c r="A82">
        <v>7</v>
      </c>
      <c r="B82" t="s">
        <v>37</v>
      </c>
      <c r="C82" s="16">
        <v>7659675203</v>
      </c>
      <c r="D82" s="17">
        <v>4754956814</v>
      </c>
    </row>
    <row r="83" spans="1:4" x14ac:dyDescent="0.25">
      <c r="A83">
        <v>8</v>
      </c>
      <c r="B83" t="s">
        <v>42</v>
      </c>
      <c r="C83" s="16">
        <v>3426916705</v>
      </c>
      <c r="D83" s="17">
        <v>3659871426</v>
      </c>
    </row>
    <row r="84" spans="1:4" x14ac:dyDescent="0.25">
      <c r="A84">
        <v>9</v>
      </c>
      <c r="B84" t="s">
        <v>120</v>
      </c>
      <c r="C84" s="16">
        <v>3492570567</v>
      </c>
      <c r="D84" s="17">
        <v>1465482610</v>
      </c>
    </row>
    <row r="85" spans="1:4" x14ac:dyDescent="0.25">
      <c r="A85">
        <v>10</v>
      </c>
      <c r="B85" t="s">
        <v>121</v>
      </c>
      <c r="C85" s="16">
        <v>2648194628</v>
      </c>
      <c r="D85" s="17">
        <v>485791457</v>
      </c>
    </row>
    <row r="86" spans="1:4" x14ac:dyDescent="0.25">
      <c r="A86">
        <v>11</v>
      </c>
      <c r="B86" t="s">
        <v>122</v>
      </c>
      <c r="C86" s="16">
        <v>9243674555</v>
      </c>
      <c r="D86" s="17">
        <v>4154789652</v>
      </c>
    </row>
    <row r="87" spans="1:4" x14ac:dyDescent="0.25">
      <c r="A87">
        <v>12</v>
      </c>
      <c r="B87" t="s">
        <v>123</v>
      </c>
      <c r="C87" s="16">
        <v>7215459654</v>
      </c>
      <c r="D87" s="17">
        <v>1478593547</v>
      </c>
    </row>
    <row r="90" spans="1:4" x14ac:dyDescent="0.25">
      <c r="A90" t="s">
        <v>9</v>
      </c>
      <c r="B90" t="s">
        <v>108</v>
      </c>
      <c r="C90" t="s">
        <v>241</v>
      </c>
      <c r="D90" t="s">
        <v>242</v>
      </c>
    </row>
    <row r="91" spans="1:4" x14ac:dyDescent="0.25">
      <c r="A91">
        <v>1</v>
      </c>
      <c r="B91" t="s">
        <v>26</v>
      </c>
      <c r="C91" s="17">
        <v>4559352678</v>
      </c>
      <c r="D91" s="28">
        <v>5498756522</v>
      </c>
    </row>
    <row r="92" spans="1:4" x14ac:dyDescent="0.25">
      <c r="A92">
        <v>2</v>
      </c>
      <c r="B92" t="s">
        <v>27</v>
      </c>
      <c r="C92" s="16">
        <v>4559657832</v>
      </c>
      <c r="D92" s="17">
        <v>2459786585</v>
      </c>
    </row>
    <row r="93" spans="1:4" x14ac:dyDescent="0.25">
      <c r="A93">
        <v>3</v>
      </c>
      <c r="B93" t="s">
        <v>28</v>
      </c>
      <c r="C93" s="16">
        <v>7859262145</v>
      </c>
      <c r="D93" s="17">
        <v>7789456322</v>
      </c>
    </row>
    <row r="94" spans="1:4" x14ac:dyDescent="0.25">
      <c r="A94">
        <v>4</v>
      </c>
      <c r="B94" t="s">
        <v>29</v>
      </c>
      <c r="C94" s="17">
        <v>4598756325</v>
      </c>
      <c r="D94" s="17">
        <v>14785236965</v>
      </c>
    </row>
    <row r="95" spans="1:4" x14ac:dyDescent="0.25">
      <c r="A95">
        <v>5</v>
      </c>
      <c r="B95" t="s">
        <v>30</v>
      </c>
      <c r="C95" s="17">
        <v>5475956668</v>
      </c>
      <c r="D95" s="17">
        <v>2587413659</v>
      </c>
    </row>
    <row r="96" spans="1:4" x14ac:dyDescent="0.25">
      <c r="A96">
        <v>6</v>
      </c>
      <c r="B96" t="s">
        <v>31</v>
      </c>
      <c r="C96" s="17">
        <v>4598236574</v>
      </c>
      <c r="D96" s="17">
        <v>45123595778</v>
      </c>
    </row>
    <row r="97" spans="1:4" x14ac:dyDescent="0.25">
      <c r="A97">
        <v>7</v>
      </c>
      <c r="B97" t="s">
        <v>32</v>
      </c>
      <c r="C97" s="17">
        <v>1245956875</v>
      </c>
      <c r="D97" s="17">
        <v>4785924796</v>
      </c>
    </row>
    <row r="98" spans="1:4" x14ac:dyDescent="0.25">
      <c r="A98">
        <v>8</v>
      </c>
      <c r="B98" t="s">
        <v>33</v>
      </c>
      <c r="C98" s="17">
        <v>6235894242</v>
      </c>
      <c r="D98" s="17">
        <v>3595756256</v>
      </c>
    </row>
    <row r="99" spans="1:4" x14ac:dyDescent="0.25">
      <c r="A99">
        <v>9</v>
      </c>
      <c r="B99" t="s">
        <v>34</v>
      </c>
      <c r="C99" s="17">
        <v>4758961543</v>
      </c>
      <c r="D99" s="17">
        <v>7458962456</v>
      </c>
    </row>
    <row r="100" spans="1:4" x14ac:dyDescent="0.25">
      <c r="A100">
        <v>10</v>
      </c>
      <c r="B100" t="s">
        <v>35</v>
      </c>
      <c r="C100" s="17">
        <v>4587956256</v>
      </c>
      <c r="D100" s="17">
        <v>9874568523</v>
      </c>
    </row>
    <row r="104" spans="1:4" x14ac:dyDescent="0.25">
      <c r="A104" t="s">
        <v>9</v>
      </c>
      <c r="B104" t="s">
        <v>108</v>
      </c>
      <c r="C104" t="s">
        <v>241</v>
      </c>
      <c r="D104" t="s">
        <v>242</v>
      </c>
    </row>
    <row r="105" spans="1:4" x14ac:dyDescent="0.25">
      <c r="A105">
        <v>1</v>
      </c>
      <c r="B105" t="s">
        <v>116</v>
      </c>
      <c r="C105" s="16">
        <v>5478594568</v>
      </c>
      <c r="D105" s="16">
        <v>5685564525</v>
      </c>
    </row>
    <row r="106" spans="1:4" x14ac:dyDescent="0.25">
      <c r="A106">
        <v>2</v>
      </c>
      <c r="B106" t="s">
        <v>117</v>
      </c>
      <c r="C106" s="16">
        <v>4559684165</v>
      </c>
      <c r="D106" s="16">
        <v>2447352956</v>
      </c>
    </row>
    <row r="107" spans="1:4" x14ac:dyDescent="0.25">
      <c r="A107">
        <v>3</v>
      </c>
      <c r="B107" t="s">
        <v>118</v>
      </c>
      <c r="C107" s="16">
        <v>6285943547</v>
      </c>
      <c r="D107" s="16">
        <v>4758962435</v>
      </c>
    </row>
    <row r="108" spans="1:4" x14ac:dyDescent="0.25">
      <c r="A108">
        <v>4</v>
      </c>
      <c r="B108" t="s">
        <v>119</v>
      </c>
      <c r="C108" s="16">
        <v>2065698595</v>
      </c>
      <c r="D108" s="16">
        <v>5649682456</v>
      </c>
    </row>
    <row r="109" spans="1:4" x14ac:dyDescent="0.25">
      <c r="A109">
        <v>5</v>
      </c>
      <c r="B109" t="s">
        <v>37</v>
      </c>
      <c r="C109" s="16">
        <v>1572659874</v>
      </c>
      <c r="D109" s="16">
        <v>2468956335</v>
      </c>
    </row>
    <row r="110" spans="1:4" x14ac:dyDescent="0.25">
      <c r="A110">
        <v>6</v>
      </c>
      <c r="B110" t="s">
        <v>42</v>
      </c>
      <c r="C110" s="16">
        <v>1495682565</v>
      </c>
      <c r="D110" s="16">
        <v>1478655984</v>
      </c>
    </row>
    <row r="111" spans="1:4" x14ac:dyDescent="0.25">
      <c r="A111">
        <v>7</v>
      </c>
      <c r="B111" t="s">
        <v>120</v>
      </c>
      <c r="C111" s="16">
        <v>1024568974</v>
      </c>
      <c r="D111" s="16">
        <v>1435984735</v>
      </c>
    </row>
    <row r="112" spans="1:4" x14ac:dyDescent="0.25">
      <c r="A112">
        <v>8</v>
      </c>
      <c r="B112" t="s">
        <v>121</v>
      </c>
      <c r="C112" s="16">
        <v>1448455925</v>
      </c>
      <c r="D112" s="16">
        <v>5895654856</v>
      </c>
    </row>
    <row r="113" spans="1:4" x14ac:dyDescent="0.25">
      <c r="A113">
        <v>9</v>
      </c>
      <c r="B113" t="s">
        <v>122</v>
      </c>
      <c r="C113" s="16">
        <v>4795354725</v>
      </c>
      <c r="D113" s="16">
        <v>7865892466</v>
      </c>
    </row>
    <row r="114" spans="1:4" x14ac:dyDescent="0.25">
      <c r="A114">
        <v>10</v>
      </c>
      <c r="B114" t="s">
        <v>123</v>
      </c>
      <c r="C114" s="16">
        <v>4532621232</v>
      </c>
      <c r="D114" s="16">
        <v>7854623591</v>
      </c>
    </row>
  </sheetData>
  <mergeCells count="5">
    <mergeCell ref="E1:K3"/>
    <mergeCell ref="F21:J22"/>
    <mergeCell ref="F35:I36"/>
    <mergeCell ref="F50:J51"/>
    <mergeCell ref="A70:O7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5"/>
  <sheetViews>
    <sheetView workbookViewId="0">
      <selection activeCell="E69" sqref="E69"/>
    </sheetView>
  </sheetViews>
  <sheetFormatPr defaultRowHeight="15" x14ac:dyDescent="0.25"/>
  <cols>
    <col min="2" max="2" width="16" bestFit="1" customWidth="1"/>
    <col min="6" max="6" width="13.140625" customWidth="1"/>
    <col min="7" max="7" width="12.85546875" customWidth="1"/>
    <col min="8" max="8" width="14.42578125" bestFit="1" customWidth="1"/>
  </cols>
  <sheetData>
    <row r="2" spans="1:14" x14ac:dyDescent="0.25">
      <c r="G2" s="50" t="s">
        <v>173</v>
      </c>
      <c r="H2" s="51"/>
      <c r="I2" s="51"/>
      <c r="J2" s="51"/>
      <c r="K2" s="51"/>
      <c r="L2" s="51"/>
      <c r="M2" s="51"/>
      <c r="N2" s="51"/>
    </row>
    <row r="3" spans="1:14" x14ac:dyDescent="0.25">
      <c r="G3" s="51"/>
      <c r="H3" s="51"/>
      <c r="I3" s="51"/>
      <c r="J3" s="51"/>
      <c r="K3" s="51"/>
      <c r="L3" s="51"/>
      <c r="M3" s="51"/>
      <c r="N3" s="51"/>
    </row>
    <row r="4" spans="1:14" x14ac:dyDescent="0.25">
      <c r="G4" s="51"/>
      <c r="H4" s="51"/>
      <c r="I4" s="51"/>
      <c r="J4" s="51"/>
      <c r="K4" s="51"/>
      <c r="L4" s="51"/>
      <c r="M4" s="51"/>
      <c r="N4" s="51"/>
    </row>
    <row r="5" spans="1:14" x14ac:dyDescent="0.25">
      <c r="A5" t="s">
        <v>9</v>
      </c>
      <c r="B5" t="s">
        <v>108</v>
      </c>
      <c r="C5" t="s">
        <v>174</v>
      </c>
      <c r="E5" t="s">
        <v>9</v>
      </c>
      <c r="F5" t="s">
        <v>108</v>
      </c>
      <c r="G5" t="s">
        <v>174</v>
      </c>
    </row>
    <row r="6" spans="1:14" x14ac:dyDescent="0.25">
      <c r="A6">
        <v>1</v>
      </c>
      <c r="B6" t="s">
        <v>117</v>
      </c>
      <c r="C6">
        <v>5000</v>
      </c>
      <c r="E6">
        <v>1</v>
      </c>
      <c r="F6" t="str">
        <f>VLOOKUP(E6,A5:C15,2,0)</f>
        <v>KEERTHI</v>
      </c>
      <c r="G6">
        <f>VLOOKUP(F6,B5:D15,2,0)</f>
        <v>5000</v>
      </c>
    </row>
    <row r="7" spans="1:14" x14ac:dyDescent="0.25">
      <c r="A7">
        <v>2</v>
      </c>
      <c r="B7" t="s">
        <v>118</v>
      </c>
      <c r="C7">
        <v>4000</v>
      </c>
      <c r="E7">
        <v>2</v>
      </c>
      <c r="F7" t="str">
        <f t="shared" ref="F7:G7" si="0">VLOOKUP(E7,A6:C16,2,0)</f>
        <v>KOKATI</v>
      </c>
      <c r="G7">
        <f t="shared" si="0"/>
        <v>4000</v>
      </c>
    </row>
    <row r="8" spans="1:14" x14ac:dyDescent="0.25">
      <c r="A8">
        <v>3</v>
      </c>
      <c r="B8" t="s">
        <v>119</v>
      </c>
      <c r="C8">
        <v>9000</v>
      </c>
      <c r="E8">
        <v>3</v>
      </c>
      <c r="F8" t="str">
        <f t="shared" ref="F8:G8" si="1">VLOOKUP(E8,A7:C17,2,0)</f>
        <v>SEHER</v>
      </c>
      <c r="G8">
        <f t="shared" si="1"/>
        <v>9000</v>
      </c>
    </row>
    <row r="9" spans="1:14" x14ac:dyDescent="0.25">
      <c r="A9">
        <v>4</v>
      </c>
      <c r="B9" t="s">
        <v>37</v>
      </c>
      <c r="C9">
        <v>9500</v>
      </c>
      <c r="E9">
        <v>4</v>
      </c>
      <c r="F9" t="str">
        <f t="shared" ref="F9:G9" si="2">VLOOKUP(E9,A8:C18,2,0)</f>
        <v>ZAID</v>
      </c>
      <c r="G9">
        <f t="shared" si="2"/>
        <v>9500</v>
      </c>
    </row>
    <row r="10" spans="1:14" x14ac:dyDescent="0.25">
      <c r="A10">
        <v>5</v>
      </c>
      <c r="B10" t="s">
        <v>42</v>
      </c>
      <c r="C10">
        <v>4200</v>
      </c>
      <c r="E10">
        <v>5</v>
      </c>
      <c r="F10" t="str">
        <f t="shared" ref="F10:G10" si="3">VLOOKUP(E10,A9:C19,2,0)</f>
        <v>SUFIYAN</v>
      </c>
      <c r="G10">
        <f t="shared" si="3"/>
        <v>4200</v>
      </c>
    </row>
    <row r="11" spans="1:14" x14ac:dyDescent="0.25">
      <c r="A11">
        <v>6</v>
      </c>
      <c r="B11" t="s">
        <v>120</v>
      </c>
      <c r="C11">
        <v>3500</v>
      </c>
      <c r="E11">
        <v>6</v>
      </c>
      <c r="F11" t="str">
        <f t="shared" ref="F11:G11" si="4">VLOOKUP(E11,A10:C20,2,0)</f>
        <v>IRFANA</v>
      </c>
      <c r="G11">
        <f t="shared" si="4"/>
        <v>3500</v>
      </c>
    </row>
    <row r="12" spans="1:14" x14ac:dyDescent="0.25">
      <c r="A12">
        <v>7</v>
      </c>
      <c r="B12" t="s">
        <v>121</v>
      </c>
      <c r="C12">
        <v>15000</v>
      </c>
      <c r="E12">
        <v>7</v>
      </c>
      <c r="F12" t="str">
        <f t="shared" ref="F12:G12" si="5">VLOOKUP(E12,A11:C21,2,0)</f>
        <v>CHAITRA</v>
      </c>
      <c r="G12">
        <f t="shared" si="5"/>
        <v>15000</v>
      </c>
    </row>
    <row r="13" spans="1:14" x14ac:dyDescent="0.25">
      <c r="A13">
        <v>8</v>
      </c>
      <c r="B13" t="s">
        <v>122</v>
      </c>
      <c r="C13">
        <v>45000</v>
      </c>
      <c r="E13">
        <v>8</v>
      </c>
      <c r="F13" t="str">
        <f t="shared" ref="F13:G13" si="6">VLOOKUP(E13,A12:C22,2,0)</f>
        <v>KEERTHANA</v>
      </c>
      <c r="G13">
        <f t="shared" si="6"/>
        <v>45000</v>
      </c>
    </row>
    <row r="14" spans="1:14" x14ac:dyDescent="0.25">
      <c r="A14">
        <v>9</v>
      </c>
      <c r="B14" t="s">
        <v>123</v>
      </c>
      <c r="C14">
        <v>852</v>
      </c>
      <c r="E14">
        <v>9</v>
      </c>
      <c r="F14" t="str">
        <f t="shared" ref="F14:G14" si="7">VLOOKUP(E14,A13:C23,2,0)</f>
        <v>PRATHIBHA</v>
      </c>
      <c r="G14">
        <f t="shared" si="7"/>
        <v>852</v>
      </c>
    </row>
    <row r="15" spans="1:14" x14ac:dyDescent="0.25">
      <c r="A15">
        <v>10</v>
      </c>
      <c r="B15" t="s">
        <v>116</v>
      </c>
      <c r="C15">
        <v>1367</v>
      </c>
      <c r="E15">
        <v>10</v>
      </c>
      <c r="F15" t="str">
        <f t="shared" ref="F15:G15" si="8">VLOOKUP(E15,A14:C24,2,0)</f>
        <v>KHAMAR</v>
      </c>
      <c r="G15">
        <f t="shared" si="8"/>
        <v>1367</v>
      </c>
    </row>
    <row r="19" spans="1:7" x14ac:dyDescent="0.25">
      <c r="A19" t="s">
        <v>9</v>
      </c>
      <c r="B19" t="s">
        <v>108</v>
      </c>
      <c r="C19" t="s">
        <v>174</v>
      </c>
      <c r="E19" t="s">
        <v>9</v>
      </c>
      <c r="F19" t="s">
        <v>108</v>
      </c>
      <c r="G19" t="s">
        <v>174</v>
      </c>
    </row>
    <row r="20" spans="1:7" x14ac:dyDescent="0.25">
      <c r="A20">
        <v>1</v>
      </c>
      <c r="B20" t="s">
        <v>116</v>
      </c>
      <c r="C20">
        <v>4520</v>
      </c>
      <c r="E20">
        <v>1</v>
      </c>
      <c r="F20" t="str">
        <f>VLOOKUP(E20,A19:C29,2,0)</f>
        <v>KHAMAR</v>
      </c>
      <c r="G20">
        <f>VLOOKUP(E20,A19:C29,3,0)</f>
        <v>4520</v>
      </c>
    </row>
    <row r="21" spans="1:7" x14ac:dyDescent="0.25">
      <c r="A21">
        <v>2</v>
      </c>
      <c r="B21" t="s">
        <v>117</v>
      </c>
      <c r="C21">
        <v>245</v>
      </c>
      <c r="E21">
        <v>2</v>
      </c>
      <c r="F21" t="str">
        <f t="shared" ref="F21:F28" si="9">VLOOKUP(E21,A20:C30,2,0)</f>
        <v>KEERTHI</v>
      </c>
      <c r="G21">
        <f t="shared" ref="G21:G28" si="10">VLOOKUP(E21,A20:C30,3,0)</f>
        <v>245</v>
      </c>
    </row>
    <row r="22" spans="1:7" x14ac:dyDescent="0.25">
      <c r="A22">
        <v>3</v>
      </c>
      <c r="B22" t="s">
        <v>118</v>
      </c>
      <c r="C22">
        <v>658</v>
      </c>
      <c r="E22">
        <v>3</v>
      </c>
      <c r="F22" t="str">
        <f t="shared" si="9"/>
        <v>KOKATI</v>
      </c>
      <c r="G22">
        <f t="shared" si="10"/>
        <v>658</v>
      </c>
    </row>
    <row r="23" spans="1:7" x14ac:dyDescent="0.25">
      <c r="A23">
        <v>4</v>
      </c>
      <c r="B23" t="s">
        <v>119</v>
      </c>
      <c r="C23">
        <v>86</v>
      </c>
      <c r="E23">
        <v>4</v>
      </c>
      <c r="F23" t="str">
        <f t="shared" si="9"/>
        <v>SEHER</v>
      </c>
      <c r="G23">
        <f t="shared" si="10"/>
        <v>86</v>
      </c>
    </row>
    <row r="24" spans="1:7" x14ac:dyDescent="0.25">
      <c r="A24">
        <v>5</v>
      </c>
      <c r="B24" t="s">
        <v>37</v>
      </c>
      <c r="C24">
        <v>357</v>
      </c>
      <c r="E24">
        <v>5</v>
      </c>
      <c r="F24" t="str">
        <f t="shared" si="9"/>
        <v>ZAID</v>
      </c>
      <c r="G24">
        <f t="shared" si="10"/>
        <v>357</v>
      </c>
    </row>
    <row r="25" spans="1:7" x14ac:dyDescent="0.25">
      <c r="A25">
        <v>6</v>
      </c>
      <c r="B25" t="s">
        <v>42</v>
      </c>
      <c r="C25">
        <v>1653</v>
      </c>
      <c r="E25">
        <v>6</v>
      </c>
      <c r="F25" t="str">
        <f t="shared" si="9"/>
        <v>SUFIYAN</v>
      </c>
      <c r="G25">
        <f t="shared" si="10"/>
        <v>1653</v>
      </c>
    </row>
    <row r="26" spans="1:7" x14ac:dyDescent="0.25">
      <c r="A26">
        <v>7</v>
      </c>
      <c r="B26" t="s">
        <v>120</v>
      </c>
      <c r="C26">
        <v>1500</v>
      </c>
      <c r="E26">
        <v>7</v>
      </c>
      <c r="F26" t="str">
        <f t="shared" si="9"/>
        <v>IRFANA</v>
      </c>
      <c r="G26">
        <f t="shared" si="10"/>
        <v>1500</v>
      </c>
    </row>
    <row r="27" spans="1:7" x14ac:dyDescent="0.25">
      <c r="A27">
        <v>8</v>
      </c>
      <c r="B27" t="s">
        <v>121</v>
      </c>
      <c r="C27">
        <v>17000</v>
      </c>
      <c r="E27">
        <v>8</v>
      </c>
      <c r="F27" t="str">
        <f t="shared" si="9"/>
        <v>CHAITRA</v>
      </c>
      <c r="G27">
        <f t="shared" si="10"/>
        <v>17000</v>
      </c>
    </row>
    <row r="28" spans="1:7" x14ac:dyDescent="0.25">
      <c r="A28">
        <v>9</v>
      </c>
      <c r="B28" t="s">
        <v>122</v>
      </c>
      <c r="C28">
        <v>9852</v>
      </c>
      <c r="E28">
        <v>9</v>
      </c>
      <c r="F28" t="str">
        <f t="shared" si="9"/>
        <v>KEERTHANA</v>
      </c>
      <c r="G28">
        <f t="shared" si="10"/>
        <v>9852</v>
      </c>
    </row>
    <row r="29" spans="1:7" x14ac:dyDescent="0.25">
      <c r="A29">
        <v>10</v>
      </c>
      <c r="B29" t="s">
        <v>123</v>
      </c>
      <c r="C29">
        <v>1254</v>
      </c>
    </row>
    <row r="31" spans="1:7" x14ac:dyDescent="0.25">
      <c r="A31" t="s">
        <v>9</v>
      </c>
      <c r="B31" t="s">
        <v>147</v>
      </c>
      <c r="C31" t="s">
        <v>174</v>
      </c>
      <c r="E31" t="s">
        <v>9</v>
      </c>
      <c r="F31" t="s">
        <v>147</v>
      </c>
      <c r="G31" t="s">
        <v>174</v>
      </c>
    </row>
    <row r="32" spans="1:7" x14ac:dyDescent="0.25">
      <c r="A32">
        <v>1</v>
      </c>
      <c r="B32" t="s">
        <v>26</v>
      </c>
      <c r="C32">
        <v>258</v>
      </c>
      <c r="E32">
        <v>1</v>
      </c>
      <c r="F32" t="str">
        <f>VLOOKUP(E32,A31:C41,2,0)</f>
        <v>RAHUL</v>
      </c>
      <c r="G32">
        <f>VLOOKUP(E32,A31:C41,3,0)</f>
        <v>258</v>
      </c>
    </row>
    <row r="33" spans="1:10" x14ac:dyDescent="0.25">
      <c r="A33">
        <v>2</v>
      </c>
      <c r="B33" t="s">
        <v>27</v>
      </c>
      <c r="C33">
        <v>369</v>
      </c>
      <c r="E33">
        <v>2</v>
      </c>
      <c r="F33" t="str">
        <f t="shared" ref="F33:F40" si="11">VLOOKUP(E33,A32:C42,2,0)</f>
        <v>ROHIT</v>
      </c>
      <c r="G33">
        <f t="shared" ref="G33:G41" si="12">VLOOKUP(E33,A32:C42,3,0)</f>
        <v>369</v>
      </c>
    </row>
    <row r="34" spans="1:10" x14ac:dyDescent="0.25">
      <c r="A34">
        <v>3</v>
      </c>
      <c r="B34" t="s">
        <v>28</v>
      </c>
      <c r="C34">
        <v>471</v>
      </c>
      <c r="E34">
        <v>3</v>
      </c>
      <c r="F34" t="str">
        <f t="shared" si="11"/>
        <v>PRAJWAL</v>
      </c>
      <c r="G34">
        <f>VLOOKUP(E34,A33:C43,3,0)</f>
        <v>471</v>
      </c>
    </row>
    <row r="35" spans="1:10" x14ac:dyDescent="0.25">
      <c r="A35">
        <v>4</v>
      </c>
      <c r="B35" t="s">
        <v>29</v>
      </c>
      <c r="C35">
        <v>257</v>
      </c>
      <c r="E35">
        <v>4</v>
      </c>
      <c r="F35" t="str">
        <f t="shared" si="11"/>
        <v>RAMESH</v>
      </c>
      <c r="G35">
        <f t="shared" si="12"/>
        <v>257</v>
      </c>
    </row>
    <row r="36" spans="1:10" x14ac:dyDescent="0.25">
      <c r="A36">
        <v>5</v>
      </c>
      <c r="B36" t="s">
        <v>30</v>
      </c>
      <c r="C36">
        <v>359</v>
      </c>
      <c r="E36">
        <v>5</v>
      </c>
      <c r="F36" t="str">
        <f t="shared" si="11"/>
        <v>IRFAN</v>
      </c>
      <c r="G36">
        <f t="shared" si="12"/>
        <v>359</v>
      </c>
    </row>
    <row r="37" spans="1:10" x14ac:dyDescent="0.25">
      <c r="A37">
        <v>6</v>
      </c>
      <c r="B37" t="s">
        <v>31</v>
      </c>
      <c r="C37">
        <v>789</v>
      </c>
      <c r="E37">
        <v>6</v>
      </c>
      <c r="F37" t="str">
        <f t="shared" si="11"/>
        <v>IMRAN</v>
      </c>
      <c r="G37">
        <f t="shared" si="12"/>
        <v>789</v>
      </c>
    </row>
    <row r="38" spans="1:10" x14ac:dyDescent="0.25">
      <c r="A38">
        <v>7</v>
      </c>
      <c r="B38" t="s">
        <v>32</v>
      </c>
      <c r="C38">
        <v>354</v>
      </c>
      <c r="E38">
        <v>7</v>
      </c>
      <c r="F38" t="str">
        <f t="shared" si="11"/>
        <v>SAIF</v>
      </c>
      <c r="G38">
        <f t="shared" si="12"/>
        <v>354</v>
      </c>
    </row>
    <row r="39" spans="1:10" x14ac:dyDescent="0.25">
      <c r="A39">
        <v>8</v>
      </c>
      <c r="B39" t="s">
        <v>33</v>
      </c>
      <c r="C39">
        <v>156</v>
      </c>
      <c r="E39">
        <v>8</v>
      </c>
      <c r="F39" t="str">
        <f t="shared" si="11"/>
        <v>ALI</v>
      </c>
      <c r="G39">
        <f t="shared" si="12"/>
        <v>156</v>
      </c>
    </row>
    <row r="40" spans="1:10" x14ac:dyDescent="0.25">
      <c r="A40">
        <v>9</v>
      </c>
      <c r="B40" t="s">
        <v>34</v>
      </c>
      <c r="C40">
        <v>245</v>
      </c>
      <c r="E40">
        <v>9</v>
      </c>
      <c r="F40" t="str">
        <f t="shared" si="11"/>
        <v>AFSAR</v>
      </c>
      <c r="G40">
        <f t="shared" si="12"/>
        <v>245</v>
      </c>
    </row>
    <row r="41" spans="1:10" x14ac:dyDescent="0.25">
      <c r="A41">
        <v>10</v>
      </c>
      <c r="B41" t="s">
        <v>35</v>
      </c>
      <c r="C41">
        <v>786</v>
      </c>
      <c r="E41">
        <v>10</v>
      </c>
      <c r="F41" t="str">
        <f>VLOOKUP(E41,A31:C41,2,0)</f>
        <v>AFROZ</v>
      </c>
      <c r="G41">
        <f t="shared" si="12"/>
        <v>786</v>
      </c>
    </row>
    <row r="43" spans="1:10" x14ac:dyDescent="0.25">
      <c r="E43" s="52" t="s">
        <v>175</v>
      </c>
      <c r="F43" s="53"/>
      <c r="G43" s="53"/>
      <c r="H43" s="53"/>
      <c r="I43" s="53"/>
      <c r="J43" s="53"/>
    </row>
    <row r="44" spans="1:10" x14ac:dyDescent="0.25">
      <c r="E44" s="53"/>
      <c r="F44" s="53"/>
      <c r="G44" s="53"/>
      <c r="H44" s="53"/>
      <c r="I44" s="53"/>
      <c r="J44" s="53"/>
    </row>
    <row r="45" spans="1:10" x14ac:dyDescent="0.25">
      <c r="E45" s="53"/>
      <c r="F45" s="53"/>
      <c r="G45" s="53"/>
      <c r="H45" s="53"/>
      <c r="I45" s="53"/>
      <c r="J45" s="53"/>
    </row>
    <row r="46" spans="1:10" x14ac:dyDescent="0.25">
      <c r="E46" s="53"/>
      <c r="F46" s="53"/>
      <c r="G46" s="53"/>
      <c r="H46" s="53"/>
      <c r="I46" s="53"/>
      <c r="J46" s="53"/>
    </row>
    <row r="47" spans="1:10" x14ac:dyDescent="0.25">
      <c r="A47" t="s">
        <v>9</v>
      </c>
      <c r="B47" t="s">
        <v>108</v>
      </c>
      <c r="C47" t="s">
        <v>174</v>
      </c>
      <c r="F47" t="s">
        <v>9</v>
      </c>
      <c r="G47" t="s">
        <v>108</v>
      </c>
      <c r="H47" t="s">
        <v>174</v>
      </c>
    </row>
    <row r="48" spans="1:10" x14ac:dyDescent="0.25">
      <c r="A48">
        <v>1</v>
      </c>
      <c r="B48" t="s">
        <v>36</v>
      </c>
      <c r="C48">
        <v>789</v>
      </c>
      <c r="F48">
        <v>1</v>
      </c>
      <c r="G48" t="str">
        <f>HLOOKUP(G47,B47:C57,2,0)</f>
        <v>ZAIN</v>
      </c>
      <c r="H48">
        <f>HLOOKUP(H47,A47:C57,2,0)</f>
        <v>789</v>
      </c>
    </row>
    <row r="49" spans="1:8" x14ac:dyDescent="0.25">
      <c r="A49">
        <v>2</v>
      </c>
      <c r="B49" t="s">
        <v>37</v>
      </c>
      <c r="C49">
        <v>657</v>
      </c>
      <c r="F49">
        <v>2</v>
      </c>
      <c r="G49" t="str">
        <f>HLOOKUP(G47,B47:C57,3,0)</f>
        <v>ZAID</v>
      </c>
      <c r="H49">
        <f t="shared" ref="H49:H57" si="13">HLOOKUP(H48,A48:C58,2,0)</f>
        <v>657</v>
      </c>
    </row>
    <row r="50" spans="1:8" x14ac:dyDescent="0.25">
      <c r="A50">
        <v>3</v>
      </c>
      <c r="B50" t="s">
        <v>38</v>
      </c>
      <c r="C50">
        <v>369</v>
      </c>
      <c r="F50">
        <v>3</v>
      </c>
      <c r="G50" t="str">
        <f>HLOOKUP(G47,A47:C57,4,0)</f>
        <v>MOIN</v>
      </c>
      <c r="H50">
        <f t="shared" si="13"/>
        <v>369</v>
      </c>
    </row>
    <row r="51" spans="1:8" x14ac:dyDescent="0.25">
      <c r="A51">
        <v>4</v>
      </c>
      <c r="B51" t="s">
        <v>39</v>
      </c>
      <c r="C51">
        <v>952</v>
      </c>
      <c r="F51">
        <v>4</v>
      </c>
      <c r="G51" t="str">
        <f t="shared" ref="G51:G57" si="14">HLOOKUP(G48,A48:C58,4,0)</f>
        <v>KASHIF</v>
      </c>
      <c r="H51">
        <f t="shared" si="13"/>
        <v>952</v>
      </c>
    </row>
    <row r="52" spans="1:8" x14ac:dyDescent="0.25">
      <c r="A52">
        <v>5</v>
      </c>
      <c r="B52" t="s">
        <v>40</v>
      </c>
      <c r="C52">
        <v>248</v>
      </c>
      <c r="F52">
        <v>5</v>
      </c>
      <c r="G52" t="str">
        <f t="shared" si="14"/>
        <v>ATEEF</v>
      </c>
      <c r="H52">
        <f t="shared" si="13"/>
        <v>248</v>
      </c>
    </row>
    <row r="53" spans="1:8" x14ac:dyDescent="0.25">
      <c r="A53">
        <v>6</v>
      </c>
      <c r="B53" t="s">
        <v>30</v>
      </c>
      <c r="C53">
        <v>576</v>
      </c>
      <c r="F53">
        <v>6</v>
      </c>
      <c r="G53" t="str">
        <f t="shared" si="14"/>
        <v>IRFAN</v>
      </c>
      <c r="H53">
        <f t="shared" si="13"/>
        <v>576</v>
      </c>
    </row>
    <row r="54" spans="1:8" x14ac:dyDescent="0.25">
      <c r="A54">
        <v>7</v>
      </c>
      <c r="B54" t="s">
        <v>31</v>
      </c>
      <c r="C54">
        <v>384</v>
      </c>
      <c r="F54">
        <v>7</v>
      </c>
      <c r="G54" t="str">
        <f t="shared" si="14"/>
        <v>IMRAN</v>
      </c>
      <c r="H54">
        <f t="shared" si="13"/>
        <v>384</v>
      </c>
    </row>
    <row r="55" spans="1:8" x14ac:dyDescent="0.25">
      <c r="A55">
        <v>8</v>
      </c>
      <c r="B55" t="s">
        <v>32</v>
      </c>
      <c r="C55">
        <v>694</v>
      </c>
      <c r="F55">
        <v>8</v>
      </c>
      <c r="G55" t="str">
        <f t="shared" si="14"/>
        <v>SAIF</v>
      </c>
      <c r="H55">
        <f t="shared" si="13"/>
        <v>694</v>
      </c>
    </row>
    <row r="56" spans="1:8" x14ac:dyDescent="0.25">
      <c r="A56">
        <v>9</v>
      </c>
      <c r="B56" t="s">
        <v>117</v>
      </c>
      <c r="C56">
        <v>147</v>
      </c>
      <c r="F56">
        <v>9</v>
      </c>
      <c r="G56" t="str">
        <f t="shared" si="14"/>
        <v>KEERTHI</v>
      </c>
      <c r="H56">
        <f t="shared" si="13"/>
        <v>147</v>
      </c>
    </row>
    <row r="57" spans="1:8" x14ac:dyDescent="0.25">
      <c r="A57">
        <v>10</v>
      </c>
      <c r="B57" t="s">
        <v>27</v>
      </c>
      <c r="C57">
        <v>876</v>
      </c>
      <c r="F57">
        <v>10</v>
      </c>
      <c r="G57" t="str">
        <f t="shared" si="14"/>
        <v>ROHIT</v>
      </c>
      <c r="H57">
        <f t="shared" si="13"/>
        <v>876</v>
      </c>
    </row>
    <row r="61" spans="1:8" x14ac:dyDescent="0.25">
      <c r="A61" t="s">
        <v>9</v>
      </c>
      <c r="B61" t="s">
        <v>108</v>
      </c>
      <c r="C61" t="s">
        <v>174</v>
      </c>
      <c r="F61" t="s">
        <v>9</v>
      </c>
      <c r="G61" t="s">
        <v>108</v>
      </c>
      <c r="H61" t="s">
        <v>174</v>
      </c>
    </row>
    <row r="62" spans="1:8" x14ac:dyDescent="0.25">
      <c r="A62">
        <v>1</v>
      </c>
      <c r="B62" t="s">
        <v>116</v>
      </c>
      <c r="C62">
        <v>789</v>
      </c>
      <c r="F62">
        <v>1</v>
      </c>
      <c r="G62" t="str">
        <f>HLOOKUP(G61,A61:C71,2,0)</f>
        <v>KHAMAR</v>
      </c>
      <c r="H62">
        <f>HLOOKUP(H61,A61:C71,2,)</f>
        <v>789</v>
      </c>
    </row>
    <row r="63" spans="1:8" x14ac:dyDescent="0.25">
      <c r="A63">
        <v>2</v>
      </c>
      <c r="B63" t="s">
        <v>117</v>
      </c>
      <c r="C63">
        <v>1500</v>
      </c>
      <c r="F63">
        <v>2</v>
      </c>
      <c r="G63" t="str">
        <f t="shared" ref="G63:G71" si="15">HLOOKUP(G62,A62:C72,2,0)</f>
        <v>KEERTHI</v>
      </c>
      <c r="H63">
        <f t="shared" ref="H63:H71" si="16">HLOOKUP(H62,A62:C72,2,)</f>
        <v>1500</v>
      </c>
    </row>
    <row r="64" spans="1:8" x14ac:dyDescent="0.25">
      <c r="A64">
        <v>3</v>
      </c>
      <c r="B64" t="s">
        <v>118</v>
      </c>
      <c r="C64">
        <v>5698</v>
      </c>
      <c r="F64">
        <v>3</v>
      </c>
      <c r="G64" t="str">
        <f t="shared" si="15"/>
        <v>KOKATI</v>
      </c>
      <c r="H64">
        <f t="shared" si="16"/>
        <v>5698</v>
      </c>
    </row>
    <row r="65" spans="1:8" x14ac:dyDescent="0.25">
      <c r="A65">
        <v>4</v>
      </c>
      <c r="B65" t="s">
        <v>119</v>
      </c>
      <c r="C65">
        <v>2654</v>
      </c>
      <c r="F65">
        <v>4</v>
      </c>
      <c r="G65" t="str">
        <f t="shared" si="15"/>
        <v>SEHER</v>
      </c>
      <c r="H65">
        <f t="shared" si="16"/>
        <v>2654</v>
      </c>
    </row>
    <row r="66" spans="1:8" x14ac:dyDescent="0.25">
      <c r="A66">
        <v>5</v>
      </c>
      <c r="B66" t="s">
        <v>37</v>
      </c>
      <c r="C66">
        <v>6987</v>
      </c>
      <c r="F66">
        <v>5</v>
      </c>
      <c r="G66" t="str">
        <f t="shared" si="15"/>
        <v>ZAID</v>
      </c>
      <c r="H66">
        <f t="shared" si="16"/>
        <v>6987</v>
      </c>
    </row>
    <row r="67" spans="1:8" x14ac:dyDescent="0.25">
      <c r="A67">
        <v>6</v>
      </c>
      <c r="B67" t="s">
        <v>42</v>
      </c>
      <c r="C67">
        <v>3549</v>
      </c>
      <c r="F67">
        <v>6</v>
      </c>
      <c r="G67" t="str">
        <f t="shared" si="15"/>
        <v>SUFIYAN</v>
      </c>
      <c r="H67">
        <f t="shared" si="16"/>
        <v>3549</v>
      </c>
    </row>
    <row r="68" spans="1:8" x14ac:dyDescent="0.25">
      <c r="A68">
        <v>7</v>
      </c>
      <c r="B68" t="s">
        <v>120</v>
      </c>
      <c r="C68">
        <v>214</v>
      </c>
      <c r="F68">
        <v>7</v>
      </c>
      <c r="G68" t="str">
        <f t="shared" si="15"/>
        <v>IRFANA</v>
      </c>
      <c r="H68">
        <f t="shared" si="16"/>
        <v>214</v>
      </c>
    </row>
    <row r="69" spans="1:8" x14ac:dyDescent="0.25">
      <c r="A69">
        <v>8</v>
      </c>
      <c r="B69" t="s">
        <v>121</v>
      </c>
      <c r="C69">
        <v>3654</v>
      </c>
      <c r="F69">
        <v>8</v>
      </c>
      <c r="G69" t="str">
        <f t="shared" si="15"/>
        <v>CHAITRA</v>
      </c>
      <c r="H69">
        <f t="shared" si="16"/>
        <v>3654</v>
      </c>
    </row>
    <row r="70" spans="1:8" x14ac:dyDescent="0.25">
      <c r="A70">
        <v>9</v>
      </c>
      <c r="B70" t="s">
        <v>122</v>
      </c>
      <c r="C70">
        <v>9512</v>
      </c>
      <c r="F70">
        <v>9</v>
      </c>
      <c r="G70" t="str">
        <f t="shared" si="15"/>
        <v>KEERTHANA</v>
      </c>
      <c r="H70">
        <f t="shared" si="16"/>
        <v>9512</v>
      </c>
    </row>
    <row r="71" spans="1:8" x14ac:dyDescent="0.25">
      <c r="A71">
        <v>10</v>
      </c>
      <c r="B71" t="s">
        <v>123</v>
      </c>
      <c r="C71">
        <v>3265</v>
      </c>
      <c r="F71">
        <v>10</v>
      </c>
      <c r="G71" t="str">
        <f t="shared" si="15"/>
        <v>PRATHIBHA</v>
      </c>
      <c r="H71">
        <f t="shared" si="16"/>
        <v>3265</v>
      </c>
    </row>
    <row r="73" spans="1:8" x14ac:dyDescent="0.25">
      <c r="A73" t="s">
        <v>9</v>
      </c>
      <c r="B73" t="s">
        <v>108</v>
      </c>
      <c r="C73" t="s">
        <v>174</v>
      </c>
      <c r="F73" t="s">
        <v>9</v>
      </c>
      <c r="G73" t="s">
        <v>108</v>
      </c>
      <c r="H73" t="s">
        <v>174</v>
      </c>
    </row>
    <row r="74" spans="1:8" x14ac:dyDescent="0.25">
      <c r="A74">
        <v>1</v>
      </c>
      <c r="B74" t="s">
        <v>26</v>
      </c>
      <c r="C74">
        <v>5000</v>
      </c>
      <c r="F74">
        <v>1</v>
      </c>
      <c r="G74" t="str">
        <f>HLOOKUP(G73,A73:C83,2,0)</f>
        <v>RAHUL</v>
      </c>
      <c r="H74">
        <f>HLOOKUP(H73,A73:C83,2,0)</f>
        <v>5000</v>
      </c>
    </row>
    <row r="75" spans="1:8" x14ac:dyDescent="0.25">
      <c r="A75">
        <v>2</v>
      </c>
      <c r="B75" t="s">
        <v>27</v>
      </c>
      <c r="C75">
        <v>4000</v>
      </c>
      <c r="F75">
        <v>2</v>
      </c>
      <c r="G75" t="str">
        <f>HLOOKUP(G74,A74:C84,2,0)</f>
        <v>ROHIT</v>
      </c>
      <c r="H75">
        <f t="shared" ref="H75:H83" si="17">HLOOKUP(H74,A74:C84,2,0)</f>
        <v>4000</v>
      </c>
    </row>
    <row r="76" spans="1:8" x14ac:dyDescent="0.25">
      <c r="A76">
        <v>3</v>
      </c>
      <c r="B76" t="s">
        <v>28</v>
      </c>
      <c r="C76">
        <v>9000</v>
      </c>
      <c r="F76">
        <v>3</v>
      </c>
      <c r="G76" t="str">
        <f t="shared" ref="G76:G83" si="18">HLOOKUP(G75,A75:C85,2,0)</f>
        <v>PRAJWAL</v>
      </c>
      <c r="H76">
        <f t="shared" si="17"/>
        <v>9000</v>
      </c>
    </row>
    <row r="77" spans="1:8" x14ac:dyDescent="0.25">
      <c r="A77">
        <v>4</v>
      </c>
      <c r="B77" t="s">
        <v>29</v>
      </c>
      <c r="C77">
        <v>9500</v>
      </c>
      <c r="F77">
        <v>4</v>
      </c>
      <c r="G77" t="str">
        <f t="shared" si="18"/>
        <v>RAMESH</v>
      </c>
      <c r="H77">
        <f t="shared" si="17"/>
        <v>9500</v>
      </c>
    </row>
    <row r="78" spans="1:8" x14ac:dyDescent="0.25">
      <c r="A78">
        <v>5</v>
      </c>
      <c r="B78" t="s">
        <v>30</v>
      </c>
      <c r="C78">
        <v>4200</v>
      </c>
      <c r="F78">
        <v>5</v>
      </c>
      <c r="G78" t="str">
        <f t="shared" si="18"/>
        <v>IRFAN</v>
      </c>
      <c r="H78">
        <f t="shared" si="17"/>
        <v>4200</v>
      </c>
    </row>
    <row r="79" spans="1:8" x14ac:dyDescent="0.25">
      <c r="A79">
        <v>6</v>
      </c>
      <c r="B79" t="s">
        <v>31</v>
      </c>
      <c r="C79">
        <v>3500</v>
      </c>
      <c r="F79">
        <v>6</v>
      </c>
      <c r="G79" t="str">
        <f t="shared" si="18"/>
        <v>IMRAN</v>
      </c>
      <c r="H79">
        <f t="shared" si="17"/>
        <v>3500</v>
      </c>
    </row>
    <row r="80" spans="1:8" x14ac:dyDescent="0.25">
      <c r="A80">
        <v>7</v>
      </c>
      <c r="B80" t="s">
        <v>32</v>
      </c>
      <c r="C80">
        <v>15000</v>
      </c>
      <c r="F80">
        <v>7</v>
      </c>
      <c r="G80" t="str">
        <f t="shared" si="18"/>
        <v>SAIF</v>
      </c>
      <c r="H80">
        <f t="shared" si="17"/>
        <v>15000</v>
      </c>
    </row>
    <row r="81" spans="1:8" x14ac:dyDescent="0.25">
      <c r="A81">
        <v>8</v>
      </c>
      <c r="B81" t="s">
        <v>33</v>
      </c>
      <c r="C81">
        <v>45000</v>
      </c>
      <c r="F81">
        <v>8</v>
      </c>
      <c r="G81" t="str">
        <f t="shared" si="18"/>
        <v>ALI</v>
      </c>
      <c r="H81">
        <f t="shared" si="17"/>
        <v>45000</v>
      </c>
    </row>
    <row r="82" spans="1:8" x14ac:dyDescent="0.25">
      <c r="A82">
        <v>9</v>
      </c>
      <c r="B82" t="s">
        <v>34</v>
      </c>
      <c r="C82">
        <v>852</v>
      </c>
      <c r="F82">
        <v>9</v>
      </c>
      <c r="G82" t="str">
        <f t="shared" si="18"/>
        <v>AFSAR</v>
      </c>
      <c r="H82">
        <f t="shared" si="17"/>
        <v>852</v>
      </c>
    </row>
    <row r="83" spans="1:8" x14ac:dyDescent="0.25">
      <c r="A83">
        <v>10</v>
      </c>
      <c r="B83" t="s">
        <v>35</v>
      </c>
      <c r="C83">
        <v>1367</v>
      </c>
      <c r="F83">
        <v>10</v>
      </c>
      <c r="G83" t="str">
        <f t="shared" si="18"/>
        <v>AFROZ</v>
      </c>
      <c r="H83">
        <f t="shared" si="17"/>
        <v>1367</v>
      </c>
    </row>
    <row r="86" spans="1:8" x14ac:dyDescent="0.25">
      <c r="A86" t="s">
        <v>9</v>
      </c>
      <c r="B86" t="s">
        <v>108</v>
      </c>
      <c r="C86" t="s">
        <v>174</v>
      </c>
      <c r="F86" t="s">
        <v>9</v>
      </c>
      <c r="G86" t="s">
        <v>108</v>
      </c>
      <c r="H86" t="s">
        <v>174</v>
      </c>
    </row>
    <row r="87" spans="1:8" x14ac:dyDescent="0.25">
      <c r="A87">
        <v>1</v>
      </c>
      <c r="B87" s="11" t="s">
        <v>176</v>
      </c>
      <c r="C87">
        <v>5497</v>
      </c>
      <c r="F87">
        <v>1</v>
      </c>
      <c r="G87" t="str">
        <f>HLOOKUP(G86,A86:C97,2,0)</f>
        <v>SUMA</v>
      </c>
      <c r="H87">
        <f>HLOOKUP(H86,A86:C96,2,0)</f>
        <v>5497</v>
      </c>
    </row>
    <row r="88" spans="1:8" x14ac:dyDescent="0.25">
      <c r="A88">
        <v>2</v>
      </c>
      <c r="B88" s="11" t="s">
        <v>177</v>
      </c>
      <c r="C88">
        <v>4569</v>
      </c>
      <c r="F88">
        <v>2</v>
      </c>
      <c r="G88" t="str">
        <f t="shared" ref="G88:G97" si="19">HLOOKUP(G87,A87:C98,2,0)</f>
        <v>VEENA</v>
      </c>
      <c r="H88">
        <f t="shared" ref="H88:H90" si="20">HLOOKUP(H87,A87:C97,2,0)</f>
        <v>4569</v>
      </c>
    </row>
    <row r="89" spans="1:8" x14ac:dyDescent="0.25">
      <c r="A89">
        <v>3</v>
      </c>
      <c r="B89" s="11" t="s">
        <v>109</v>
      </c>
      <c r="C89">
        <v>1245</v>
      </c>
      <c r="F89">
        <v>3</v>
      </c>
      <c r="G89" t="str">
        <f t="shared" si="19"/>
        <v>KAVYA</v>
      </c>
      <c r="H89">
        <f t="shared" si="20"/>
        <v>1245</v>
      </c>
    </row>
    <row r="90" spans="1:8" x14ac:dyDescent="0.25">
      <c r="A90">
        <v>4</v>
      </c>
      <c r="B90" s="11" t="s">
        <v>28</v>
      </c>
      <c r="C90">
        <v>6589</v>
      </c>
      <c r="F90">
        <v>4</v>
      </c>
      <c r="G90" t="str">
        <f t="shared" si="19"/>
        <v>PRAJWAL</v>
      </c>
      <c r="H90">
        <f t="shared" si="20"/>
        <v>6589</v>
      </c>
    </row>
    <row r="91" spans="1:8" x14ac:dyDescent="0.25">
      <c r="A91">
        <v>5</v>
      </c>
      <c r="B91" s="11" t="s">
        <v>178</v>
      </c>
      <c r="C91">
        <v>1478</v>
      </c>
      <c r="F91">
        <v>5</v>
      </c>
      <c r="G91" t="str">
        <f t="shared" si="19"/>
        <v>MAHESH</v>
      </c>
      <c r="H91">
        <f>HLOOKUP(H90,A90:C99,2,0)</f>
        <v>1478</v>
      </c>
    </row>
    <row r="92" spans="1:8" x14ac:dyDescent="0.25">
      <c r="A92">
        <v>6</v>
      </c>
      <c r="B92" s="11" t="s">
        <v>179</v>
      </c>
      <c r="C92">
        <v>2456</v>
      </c>
      <c r="F92">
        <v>6</v>
      </c>
      <c r="G92" t="str">
        <f t="shared" si="19"/>
        <v>SURESH</v>
      </c>
      <c r="H92">
        <f>HLOOKUP(H91,A91:C99,2,0)</f>
        <v>2456</v>
      </c>
    </row>
    <row r="93" spans="1:8" x14ac:dyDescent="0.25">
      <c r="A93">
        <v>7</v>
      </c>
      <c r="B93" s="11" t="s">
        <v>117</v>
      </c>
      <c r="C93">
        <v>897</v>
      </c>
      <c r="F93">
        <v>7</v>
      </c>
      <c r="G93" t="str">
        <f t="shared" si="19"/>
        <v>KEERTHI</v>
      </c>
      <c r="H93">
        <f>HLOOKUP(H92,A92:C99,2,0)</f>
        <v>897</v>
      </c>
    </row>
    <row r="94" spans="1:8" x14ac:dyDescent="0.25">
      <c r="A94">
        <v>8</v>
      </c>
      <c r="B94" s="11" t="s">
        <v>180</v>
      </c>
      <c r="C94">
        <v>4789</v>
      </c>
      <c r="F94">
        <v>8</v>
      </c>
      <c r="G94" t="str">
        <f t="shared" si="19"/>
        <v>SWEHER</v>
      </c>
      <c r="H94">
        <f>HLOOKUP(H93,A93:C99,2,0)</f>
        <v>4789</v>
      </c>
    </row>
    <row r="95" spans="1:8" x14ac:dyDescent="0.25">
      <c r="A95">
        <v>9</v>
      </c>
      <c r="B95" s="11" t="s">
        <v>181</v>
      </c>
      <c r="C95">
        <v>5876</v>
      </c>
      <c r="F95">
        <v>9</v>
      </c>
      <c r="G95" t="str">
        <f t="shared" si="19"/>
        <v>IMAN</v>
      </c>
      <c r="H95">
        <f>HLOOKUP(H94,A94:C99,2,0)</f>
        <v>5876</v>
      </c>
    </row>
    <row r="96" spans="1:8" x14ac:dyDescent="0.25">
      <c r="A96">
        <v>10</v>
      </c>
      <c r="B96" s="11" t="s">
        <v>182</v>
      </c>
      <c r="C96">
        <v>5283</v>
      </c>
      <c r="F96">
        <v>10</v>
      </c>
      <c r="G96" t="str">
        <f t="shared" si="19"/>
        <v xml:space="preserve"> TARA</v>
      </c>
      <c r="H96">
        <f>HLOOKUP(H95,A95:C99,2,0)</f>
        <v>5283</v>
      </c>
    </row>
    <row r="97" spans="1:8" x14ac:dyDescent="0.25">
      <c r="A97">
        <v>11</v>
      </c>
      <c r="B97" s="11" t="s">
        <v>183</v>
      </c>
      <c r="C97">
        <v>789</v>
      </c>
      <c r="F97">
        <v>11</v>
      </c>
      <c r="G97" t="str">
        <f t="shared" si="19"/>
        <v>PP</v>
      </c>
      <c r="H97">
        <f>HLOOKUP(H96,A96:C100,2,0)</f>
        <v>789</v>
      </c>
    </row>
    <row r="100" spans="1:8" x14ac:dyDescent="0.25">
      <c r="A100" s="11"/>
      <c r="B100" s="11"/>
      <c r="C100" s="11"/>
      <c r="D100" s="11"/>
      <c r="E100" s="11"/>
    </row>
    <row r="101" spans="1:8" x14ac:dyDescent="0.25">
      <c r="A101" s="11"/>
      <c r="B101" s="11"/>
      <c r="C101" s="11"/>
      <c r="D101" s="11"/>
      <c r="E101" s="11"/>
      <c r="F101" s="18" t="s">
        <v>246</v>
      </c>
      <c r="G101" t="s">
        <v>245</v>
      </c>
      <c r="H101" t="s">
        <v>248</v>
      </c>
    </row>
    <row r="102" spans="1:8" x14ac:dyDescent="0.25">
      <c r="A102" s="11"/>
      <c r="B102" s="11"/>
      <c r="C102" s="11"/>
      <c r="D102" s="11"/>
      <c r="E102" s="11"/>
      <c r="F102" s="19" t="s">
        <v>182</v>
      </c>
      <c r="G102" s="12">
        <v>10</v>
      </c>
      <c r="H102" s="12">
        <v>5283</v>
      </c>
    </row>
    <row r="103" spans="1:8" x14ac:dyDescent="0.25">
      <c r="A103" s="11"/>
      <c r="B103" s="11"/>
      <c r="C103" s="11"/>
      <c r="D103" s="11"/>
      <c r="E103" s="11"/>
      <c r="F103" s="19" t="s">
        <v>181</v>
      </c>
      <c r="G103" s="12">
        <v>9</v>
      </c>
      <c r="H103" s="12">
        <v>5876</v>
      </c>
    </row>
    <row r="104" spans="1:8" x14ac:dyDescent="0.25">
      <c r="A104" s="11"/>
      <c r="B104" s="11"/>
      <c r="C104" s="11"/>
      <c r="D104" s="11"/>
      <c r="E104" s="11"/>
      <c r="F104" s="19" t="s">
        <v>109</v>
      </c>
      <c r="G104" s="12">
        <v>3</v>
      </c>
      <c r="H104" s="12">
        <v>1245</v>
      </c>
    </row>
    <row r="105" spans="1:8" x14ac:dyDescent="0.25">
      <c r="A105" s="11"/>
      <c r="B105" s="11"/>
      <c r="C105" s="11"/>
      <c r="D105" s="11"/>
      <c r="E105" s="11"/>
      <c r="F105" s="19" t="s">
        <v>117</v>
      </c>
      <c r="G105" s="12">
        <v>7</v>
      </c>
      <c r="H105" s="12">
        <v>897</v>
      </c>
    </row>
    <row r="106" spans="1:8" x14ac:dyDescent="0.25">
      <c r="A106" s="11"/>
      <c r="B106" s="11"/>
      <c r="C106" s="11"/>
      <c r="D106" s="11"/>
      <c r="E106" s="11"/>
      <c r="F106" s="19" t="s">
        <v>178</v>
      </c>
      <c r="G106" s="12">
        <v>5</v>
      </c>
      <c r="H106" s="12">
        <v>1478</v>
      </c>
    </row>
    <row r="107" spans="1:8" x14ac:dyDescent="0.25">
      <c r="A107" s="11"/>
      <c r="B107" s="11"/>
      <c r="C107" s="11"/>
      <c r="D107" s="11"/>
      <c r="E107" s="11"/>
      <c r="F107" s="19" t="s">
        <v>183</v>
      </c>
      <c r="G107" s="12">
        <v>11</v>
      </c>
      <c r="H107" s="12">
        <v>789</v>
      </c>
    </row>
    <row r="108" spans="1:8" x14ac:dyDescent="0.25">
      <c r="A108" s="11"/>
      <c r="B108" s="11"/>
      <c r="C108" s="11"/>
      <c r="D108" s="11"/>
      <c r="E108" s="11"/>
      <c r="F108" s="19" t="s">
        <v>28</v>
      </c>
      <c r="G108" s="12">
        <v>4</v>
      </c>
      <c r="H108" s="12">
        <v>6589</v>
      </c>
    </row>
    <row r="109" spans="1:8" x14ac:dyDescent="0.25">
      <c r="A109" s="11"/>
      <c r="B109" s="11"/>
      <c r="C109" s="11"/>
      <c r="D109" s="11"/>
      <c r="E109" s="11"/>
      <c r="F109" s="19" t="s">
        <v>176</v>
      </c>
      <c r="G109" s="12">
        <v>1</v>
      </c>
      <c r="H109" s="12">
        <v>5497</v>
      </c>
    </row>
    <row r="110" spans="1:8" x14ac:dyDescent="0.25">
      <c r="A110" s="11"/>
      <c r="B110" s="11"/>
      <c r="C110" s="11"/>
      <c r="D110" s="11"/>
      <c r="E110" s="11"/>
      <c r="F110" s="19" t="s">
        <v>179</v>
      </c>
      <c r="G110" s="12">
        <v>6</v>
      </c>
      <c r="H110" s="12">
        <v>2456</v>
      </c>
    </row>
    <row r="111" spans="1:8" x14ac:dyDescent="0.25">
      <c r="A111" s="11"/>
      <c r="B111" s="11"/>
      <c r="C111" s="11"/>
      <c r="D111" s="11"/>
      <c r="E111" s="11"/>
      <c r="F111" s="19" t="s">
        <v>180</v>
      </c>
      <c r="G111" s="12">
        <v>8</v>
      </c>
      <c r="H111" s="12">
        <v>4789</v>
      </c>
    </row>
    <row r="112" spans="1:8" x14ac:dyDescent="0.25">
      <c r="A112" s="11"/>
      <c r="B112" s="11"/>
      <c r="C112" s="11"/>
      <c r="D112" s="11"/>
      <c r="E112" s="11"/>
      <c r="F112" s="19" t="s">
        <v>177</v>
      </c>
      <c r="G112" s="12">
        <v>2</v>
      </c>
      <c r="H112" s="12">
        <v>4569</v>
      </c>
    </row>
    <row r="113" spans="1:8" x14ac:dyDescent="0.25">
      <c r="A113" s="11"/>
      <c r="B113" s="11"/>
      <c r="C113" s="11"/>
      <c r="D113" s="11"/>
      <c r="E113" s="11"/>
      <c r="F113" s="19" t="s">
        <v>247</v>
      </c>
      <c r="G113" s="12">
        <v>66</v>
      </c>
      <c r="H113" s="12">
        <v>39468</v>
      </c>
    </row>
    <row r="114" spans="1:8" x14ac:dyDescent="0.25">
      <c r="A114" s="11"/>
      <c r="B114" s="11"/>
      <c r="C114" s="11"/>
      <c r="D114" s="11"/>
      <c r="E114" s="11"/>
    </row>
    <row r="115" spans="1:8" x14ac:dyDescent="0.25">
      <c r="A115" s="11"/>
      <c r="B115" s="11"/>
      <c r="C115" s="11"/>
      <c r="D115" s="11"/>
      <c r="E115" s="11"/>
    </row>
  </sheetData>
  <mergeCells count="2">
    <mergeCell ref="G2:N4"/>
    <mergeCell ref="E43:J46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83"/>
  <sheetViews>
    <sheetView topLeftCell="A58" workbookViewId="0">
      <selection activeCell="B60" sqref="B60"/>
    </sheetView>
  </sheetViews>
  <sheetFormatPr defaultRowHeight="15" x14ac:dyDescent="0.25"/>
  <cols>
    <col min="1" max="1" width="13.7109375" customWidth="1"/>
    <col min="2" max="2" width="14.5703125" customWidth="1"/>
    <col min="3" max="3" width="11.7109375" customWidth="1"/>
    <col min="4" max="4" width="11" customWidth="1"/>
    <col min="5" max="5" width="14.5703125" customWidth="1"/>
    <col min="6" max="6" width="11.28515625" customWidth="1"/>
    <col min="8" max="8" width="13.85546875" customWidth="1"/>
    <col min="9" max="9" width="11.7109375" customWidth="1"/>
  </cols>
  <sheetData>
    <row r="3" spans="1:5" x14ac:dyDescent="0.25">
      <c r="A3" t="s">
        <v>9</v>
      </c>
      <c r="B3" t="s">
        <v>108</v>
      </c>
      <c r="C3" t="s">
        <v>65</v>
      </c>
      <c r="D3" t="s">
        <v>78</v>
      </c>
      <c r="E3" t="s">
        <v>79</v>
      </c>
    </row>
    <row r="4" spans="1:5" x14ac:dyDescent="0.25">
      <c r="A4">
        <v>1</v>
      </c>
      <c r="B4" t="s">
        <v>184</v>
      </c>
      <c r="C4" t="s">
        <v>191</v>
      </c>
      <c r="D4" t="s">
        <v>197</v>
      </c>
      <c r="E4">
        <f>8*50</f>
        <v>400</v>
      </c>
    </row>
    <row r="5" spans="1:5" x14ac:dyDescent="0.25">
      <c r="A5">
        <v>2</v>
      </c>
      <c r="B5" t="s">
        <v>185</v>
      </c>
      <c r="C5" t="s">
        <v>192</v>
      </c>
      <c r="D5" t="s">
        <v>197</v>
      </c>
      <c r="E5" s="12">
        <f>5*50</f>
        <v>250</v>
      </c>
    </row>
    <row r="6" spans="1:5" x14ac:dyDescent="0.25">
      <c r="A6">
        <v>3</v>
      </c>
      <c r="B6" t="s">
        <v>186</v>
      </c>
      <c r="C6" t="s">
        <v>193</v>
      </c>
      <c r="D6" t="s">
        <v>197</v>
      </c>
      <c r="E6">
        <f>6*50</f>
        <v>300</v>
      </c>
    </row>
    <row r="7" spans="1:5" x14ac:dyDescent="0.25">
      <c r="A7">
        <v>4</v>
      </c>
      <c r="B7" t="s">
        <v>187</v>
      </c>
      <c r="C7" t="s">
        <v>194</v>
      </c>
      <c r="D7" t="s">
        <v>198</v>
      </c>
      <c r="E7">
        <f>7*85</f>
        <v>595</v>
      </c>
    </row>
    <row r="8" spans="1:5" x14ac:dyDescent="0.25">
      <c r="A8">
        <v>5</v>
      </c>
      <c r="B8" t="s">
        <v>188</v>
      </c>
      <c r="C8" t="s">
        <v>192</v>
      </c>
      <c r="D8" t="s">
        <v>199</v>
      </c>
      <c r="E8">
        <f>5*33</f>
        <v>165</v>
      </c>
    </row>
    <row r="9" spans="1:5" x14ac:dyDescent="0.25">
      <c r="A9">
        <v>6</v>
      </c>
      <c r="B9" t="s">
        <v>189</v>
      </c>
      <c r="C9" t="s">
        <v>195</v>
      </c>
      <c r="D9" t="s">
        <v>200</v>
      </c>
      <c r="E9">
        <f>10*78</f>
        <v>780</v>
      </c>
    </row>
    <row r="10" spans="1:5" x14ac:dyDescent="0.25">
      <c r="A10">
        <v>7</v>
      </c>
      <c r="B10" t="s">
        <v>190</v>
      </c>
      <c r="C10" t="s">
        <v>196</v>
      </c>
      <c r="D10" t="s">
        <v>201</v>
      </c>
      <c r="E10">
        <f>17*99</f>
        <v>1683</v>
      </c>
    </row>
    <row r="12" spans="1:5" x14ac:dyDescent="0.25">
      <c r="B12" t="s">
        <v>202</v>
      </c>
      <c r="C12">
        <f>SUM(E4:E10)</f>
        <v>4173</v>
      </c>
    </row>
    <row r="16" spans="1:5" x14ac:dyDescent="0.25">
      <c r="A16" t="s">
        <v>9</v>
      </c>
      <c r="B16" t="s">
        <v>108</v>
      </c>
      <c r="C16" t="s">
        <v>65</v>
      </c>
      <c r="D16" t="s">
        <v>78</v>
      </c>
      <c r="E16" t="s">
        <v>87</v>
      </c>
    </row>
    <row r="17" spans="1:5" x14ac:dyDescent="0.25">
      <c r="A17">
        <v>1</v>
      </c>
      <c r="B17" t="s">
        <v>68</v>
      </c>
      <c r="C17" t="s">
        <v>204</v>
      </c>
      <c r="D17" t="s">
        <v>207</v>
      </c>
      <c r="E17">
        <f>2*98</f>
        <v>196</v>
      </c>
    </row>
    <row r="18" spans="1:5" x14ac:dyDescent="0.25">
      <c r="A18">
        <v>2</v>
      </c>
      <c r="B18" t="s">
        <v>72</v>
      </c>
      <c r="C18" t="s">
        <v>192</v>
      </c>
      <c r="D18" t="s">
        <v>208</v>
      </c>
      <c r="E18">
        <f>5*75</f>
        <v>375</v>
      </c>
    </row>
    <row r="19" spans="1:5" x14ac:dyDescent="0.25">
      <c r="A19">
        <v>3</v>
      </c>
      <c r="B19" t="s">
        <v>69</v>
      </c>
      <c r="C19" t="s">
        <v>205</v>
      </c>
      <c r="D19" t="s">
        <v>209</v>
      </c>
      <c r="E19">
        <f>9*63</f>
        <v>567</v>
      </c>
    </row>
    <row r="20" spans="1:5" x14ac:dyDescent="0.25">
      <c r="A20">
        <v>4</v>
      </c>
      <c r="B20" t="s">
        <v>82</v>
      </c>
      <c r="C20" t="s">
        <v>193</v>
      </c>
      <c r="D20" t="s">
        <v>210</v>
      </c>
      <c r="E20">
        <f>6*25</f>
        <v>150</v>
      </c>
    </row>
    <row r="21" spans="1:5" x14ac:dyDescent="0.25">
      <c r="A21">
        <v>5</v>
      </c>
      <c r="B21" t="s">
        <v>70</v>
      </c>
      <c r="C21" t="s">
        <v>204</v>
      </c>
      <c r="D21" t="s">
        <v>211</v>
      </c>
      <c r="E21">
        <f>2*79</f>
        <v>158</v>
      </c>
    </row>
    <row r="22" spans="1:5" x14ac:dyDescent="0.25">
      <c r="A22">
        <v>6</v>
      </c>
      <c r="B22" t="s">
        <v>74</v>
      </c>
      <c r="C22" t="s">
        <v>195</v>
      </c>
      <c r="D22" t="s">
        <v>212</v>
      </c>
      <c r="E22">
        <f>10*56</f>
        <v>560</v>
      </c>
    </row>
    <row r="23" spans="1:5" x14ac:dyDescent="0.25">
      <c r="A23">
        <v>7</v>
      </c>
      <c r="B23" t="s">
        <v>73</v>
      </c>
      <c r="C23" t="s">
        <v>194</v>
      </c>
      <c r="D23" t="s">
        <v>213</v>
      </c>
      <c r="E23">
        <f>7*55</f>
        <v>385</v>
      </c>
    </row>
    <row r="24" spans="1:5" x14ac:dyDescent="0.25">
      <c r="A24">
        <v>8</v>
      </c>
      <c r="B24" t="s">
        <v>203</v>
      </c>
      <c r="C24" t="s">
        <v>206</v>
      </c>
      <c r="D24" t="s">
        <v>214</v>
      </c>
      <c r="E24">
        <f>23*10</f>
        <v>230</v>
      </c>
    </row>
    <row r="26" spans="1:5" x14ac:dyDescent="0.25">
      <c r="B26" t="s">
        <v>202</v>
      </c>
      <c r="C26">
        <f>SUM(E17:E24)</f>
        <v>2621</v>
      </c>
    </row>
    <row r="29" spans="1:5" x14ac:dyDescent="0.25">
      <c r="A29" t="s">
        <v>9</v>
      </c>
      <c r="B29" t="s">
        <v>108</v>
      </c>
      <c r="C29" t="s">
        <v>65</v>
      </c>
      <c r="D29" t="s">
        <v>78</v>
      </c>
      <c r="E29" t="s">
        <v>79</v>
      </c>
    </row>
    <row r="30" spans="1:5" x14ac:dyDescent="0.25">
      <c r="A30">
        <v>1</v>
      </c>
      <c r="B30" t="s">
        <v>215</v>
      </c>
      <c r="C30" t="s">
        <v>204</v>
      </c>
      <c r="D30" t="s">
        <v>198</v>
      </c>
      <c r="E30">
        <f>2*85</f>
        <v>170</v>
      </c>
    </row>
    <row r="31" spans="1:5" x14ac:dyDescent="0.25">
      <c r="A31">
        <v>2</v>
      </c>
      <c r="B31" t="s">
        <v>216</v>
      </c>
      <c r="C31" t="s">
        <v>192</v>
      </c>
      <c r="D31" t="s">
        <v>199</v>
      </c>
      <c r="E31">
        <f>5*33</f>
        <v>165</v>
      </c>
    </row>
    <row r="32" spans="1:5" x14ac:dyDescent="0.25">
      <c r="A32">
        <v>3</v>
      </c>
      <c r="B32" t="s">
        <v>217</v>
      </c>
      <c r="C32" t="s">
        <v>205</v>
      </c>
      <c r="D32" t="s">
        <v>200</v>
      </c>
      <c r="E32">
        <f>9*78</f>
        <v>702</v>
      </c>
    </row>
    <row r="33" spans="1:12" x14ac:dyDescent="0.25">
      <c r="A33">
        <v>4</v>
      </c>
      <c r="B33" t="s">
        <v>218</v>
      </c>
      <c r="C33" t="s">
        <v>193</v>
      </c>
      <c r="D33" t="s">
        <v>201</v>
      </c>
      <c r="E33">
        <f>6 *99</f>
        <v>594</v>
      </c>
    </row>
    <row r="34" spans="1:12" x14ac:dyDescent="0.25">
      <c r="A34">
        <v>5</v>
      </c>
      <c r="B34" t="s">
        <v>219</v>
      </c>
      <c r="C34" t="s">
        <v>204</v>
      </c>
      <c r="D34" t="s">
        <v>220</v>
      </c>
      <c r="E34">
        <f>2*26</f>
        <v>52</v>
      </c>
    </row>
    <row r="36" spans="1:12" x14ac:dyDescent="0.25">
      <c r="B36" t="s">
        <v>202</v>
      </c>
      <c r="C36">
        <f>SUM(E30:E34)</f>
        <v>1683</v>
      </c>
    </row>
    <row r="39" spans="1:12" x14ac:dyDescent="0.25">
      <c r="E39" s="54" t="s">
        <v>221</v>
      </c>
      <c r="F39" s="51"/>
      <c r="G39" s="51"/>
      <c r="H39" s="51"/>
      <c r="I39" s="51"/>
      <c r="J39" s="51"/>
      <c r="K39" s="51"/>
      <c r="L39" s="51"/>
    </row>
    <row r="40" spans="1:12" x14ac:dyDescent="0.25">
      <c r="E40" s="51"/>
      <c r="F40" s="51"/>
      <c r="G40" s="51"/>
      <c r="H40" s="51"/>
      <c r="I40" s="51"/>
      <c r="J40" s="51"/>
      <c r="K40" s="51"/>
      <c r="L40" s="51"/>
    </row>
    <row r="42" spans="1:12" x14ac:dyDescent="0.25">
      <c r="A42" t="s">
        <v>222</v>
      </c>
      <c r="B42" t="s">
        <v>223</v>
      </c>
      <c r="C42" t="s">
        <v>224</v>
      </c>
      <c r="D42" t="s">
        <v>164</v>
      </c>
      <c r="E42" t="s">
        <v>227</v>
      </c>
      <c r="F42" t="s">
        <v>224</v>
      </c>
      <c r="G42" t="s">
        <v>164</v>
      </c>
      <c r="H42" t="s">
        <v>225</v>
      </c>
      <c r="I42" t="s">
        <v>226</v>
      </c>
    </row>
    <row r="43" spans="1:12" x14ac:dyDescent="0.25">
      <c r="A43" s="13">
        <v>39016</v>
      </c>
      <c r="B43" s="13">
        <v>46000</v>
      </c>
      <c r="C43" t="s">
        <v>160</v>
      </c>
      <c r="D43" t="s">
        <v>166</v>
      </c>
      <c r="E43">
        <v>19</v>
      </c>
      <c r="F43">
        <v>229</v>
      </c>
      <c r="G43">
        <f>DATEDIF(A43,B43,"D")</f>
        <v>6984</v>
      </c>
      <c r="H43">
        <f>DATEDIF(A43,B43,"M")</f>
        <v>229</v>
      </c>
      <c r="I43">
        <f>DATEDIF(A43,B43,"D")</f>
        <v>6984</v>
      </c>
    </row>
    <row r="44" spans="1:12" x14ac:dyDescent="0.25">
      <c r="A44" s="13">
        <v>41069</v>
      </c>
      <c r="B44" s="13">
        <v>46000</v>
      </c>
      <c r="C44" t="s">
        <v>161</v>
      </c>
      <c r="D44" t="s">
        <v>168</v>
      </c>
      <c r="E44">
        <v>15</v>
      </c>
      <c r="F44">
        <v>365</v>
      </c>
      <c r="G44">
        <f>DATEDIF(A44,B44,"D")</f>
        <v>4931</v>
      </c>
      <c r="H44">
        <f>DATEDIF(A44,B44,"M")</f>
        <v>162</v>
      </c>
      <c r="I44">
        <f>DATEDIF(A44,B44,"D")</f>
        <v>4931</v>
      </c>
    </row>
    <row r="45" spans="1:12" x14ac:dyDescent="0.25">
      <c r="A45" s="13">
        <v>45908</v>
      </c>
      <c r="B45" s="13">
        <v>46000</v>
      </c>
      <c r="C45" t="s">
        <v>154</v>
      </c>
      <c r="D45" t="s">
        <v>171</v>
      </c>
      <c r="E45">
        <v>35</v>
      </c>
      <c r="F45">
        <v>258</v>
      </c>
      <c r="G45">
        <f>DATEDIF(A45,B45,"D")</f>
        <v>92</v>
      </c>
      <c r="H45">
        <f>DATEDIF(A45,B45,"M")</f>
        <v>3</v>
      </c>
      <c r="I45">
        <f t="shared" ref="I45:I54" si="0">DATEDIF(A45,B45,"D")</f>
        <v>92</v>
      </c>
    </row>
    <row r="46" spans="1:12" x14ac:dyDescent="0.25">
      <c r="A46" s="13">
        <v>37251</v>
      </c>
      <c r="B46" s="13">
        <v>46000</v>
      </c>
      <c r="C46" t="s">
        <v>155</v>
      </c>
      <c r="D46" t="s">
        <v>169</v>
      </c>
      <c r="E46">
        <v>26</v>
      </c>
      <c r="F46">
        <v>326</v>
      </c>
      <c r="G46">
        <f>DATEDIF(A46,B46,"D")</f>
        <v>8749</v>
      </c>
      <c r="H46">
        <f t="shared" ref="H46:H54" si="1">DATEDIF(A46,B46,"M")</f>
        <v>287</v>
      </c>
      <c r="I46">
        <f t="shared" si="0"/>
        <v>8749</v>
      </c>
    </row>
    <row r="47" spans="1:12" x14ac:dyDescent="0.25">
      <c r="A47" s="13">
        <v>42621</v>
      </c>
      <c r="B47" s="13">
        <v>46000</v>
      </c>
      <c r="C47" t="s">
        <v>157</v>
      </c>
      <c r="D47" t="s">
        <v>171</v>
      </c>
      <c r="E47">
        <v>33</v>
      </c>
      <c r="F47">
        <v>456</v>
      </c>
      <c r="G47">
        <f>DATEDIF(A47,B47,"D")</f>
        <v>3379</v>
      </c>
      <c r="H47">
        <f t="shared" si="1"/>
        <v>111</v>
      </c>
      <c r="I47">
        <f>DATEDIF(A47,B47,"D")</f>
        <v>3379</v>
      </c>
    </row>
    <row r="48" spans="1:12" x14ac:dyDescent="0.25">
      <c r="A48" s="13">
        <v>33887</v>
      </c>
      <c r="B48" s="13">
        <v>46000</v>
      </c>
      <c r="C48" t="s">
        <v>160</v>
      </c>
      <c r="D48" t="s">
        <v>170</v>
      </c>
      <c r="E48">
        <v>20</v>
      </c>
      <c r="F48">
        <v>321</v>
      </c>
      <c r="G48">
        <f t="shared" ref="G48:G54" si="2">DATEDIF(A48,B48,"D")</f>
        <v>12113</v>
      </c>
      <c r="H48">
        <f t="shared" si="1"/>
        <v>397</v>
      </c>
      <c r="I48">
        <f t="shared" si="0"/>
        <v>12113</v>
      </c>
    </row>
    <row r="49" spans="1:9" x14ac:dyDescent="0.25">
      <c r="A49" s="13">
        <v>43549</v>
      </c>
      <c r="B49" s="13">
        <v>46000</v>
      </c>
      <c r="C49" t="s">
        <v>158</v>
      </c>
      <c r="D49" t="s">
        <v>165</v>
      </c>
      <c r="E49">
        <v>12</v>
      </c>
      <c r="F49">
        <v>254</v>
      </c>
      <c r="G49">
        <f t="shared" si="2"/>
        <v>2451</v>
      </c>
      <c r="H49">
        <f t="shared" si="1"/>
        <v>80</v>
      </c>
      <c r="I49">
        <f t="shared" si="0"/>
        <v>2451</v>
      </c>
    </row>
    <row r="50" spans="1:9" x14ac:dyDescent="0.25">
      <c r="A50" s="13">
        <v>44111</v>
      </c>
      <c r="B50" s="13">
        <v>46000</v>
      </c>
      <c r="C50" t="s">
        <v>155</v>
      </c>
      <c r="D50" t="s">
        <v>166</v>
      </c>
      <c r="E50">
        <v>19</v>
      </c>
      <c r="F50">
        <v>365</v>
      </c>
      <c r="G50">
        <f t="shared" si="2"/>
        <v>1889</v>
      </c>
      <c r="H50">
        <f t="shared" si="1"/>
        <v>62</v>
      </c>
      <c r="I50">
        <f t="shared" si="0"/>
        <v>1889</v>
      </c>
    </row>
    <row r="51" spans="1:9" x14ac:dyDescent="0.25">
      <c r="A51" s="13">
        <v>44597</v>
      </c>
      <c r="B51" s="13">
        <v>46000</v>
      </c>
      <c r="C51" t="s">
        <v>159</v>
      </c>
      <c r="D51" t="s">
        <v>168</v>
      </c>
      <c r="E51">
        <v>18</v>
      </c>
      <c r="F51">
        <v>214</v>
      </c>
      <c r="G51">
        <f t="shared" si="2"/>
        <v>1403</v>
      </c>
      <c r="H51">
        <f t="shared" si="1"/>
        <v>46</v>
      </c>
      <c r="I51">
        <f t="shared" si="0"/>
        <v>1403</v>
      </c>
    </row>
    <row r="52" spans="1:9" x14ac:dyDescent="0.25">
      <c r="A52" s="13">
        <v>45113</v>
      </c>
      <c r="B52" s="13">
        <v>46000</v>
      </c>
      <c r="C52" t="s">
        <v>151</v>
      </c>
      <c r="D52" t="s">
        <v>171</v>
      </c>
      <c r="E52">
        <v>13</v>
      </c>
      <c r="F52">
        <v>324</v>
      </c>
      <c r="G52">
        <f t="shared" si="2"/>
        <v>887</v>
      </c>
      <c r="H52">
        <f t="shared" si="1"/>
        <v>29</v>
      </c>
      <c r="I52">
        <f t="shared" si="0"/>
        <v>887</v>
      </c>
    </row>
    <row r="53" spans="1:9" x14ac:dyDescent="0.25">
      <c r="A53" s="13">
        <v>38461</v>
      </c>
      <c r="B53" s="13">
        <v>46000</v>
      </c>
      <c r="C53" t="s">
        <v>156</v>
      </c>
      <c r="D53" t="s">
        <v>169</v>
      </c>
      <c r="E53">
        <v>10</v>
      </c>
      <c r="F53">
        <v>36</v>
      </c>
      <c r="G53">
        <f t="shared" si="2"/>
        <v>7539</v>
      </c>
      <c r="H53">
        <f>DATEDIF(A53,B53,"M")</f>
        <v>247</v>
      </c>
      <c r="I53">
        <f t="shared" si="0"/>
        <v>7539</v>
      </c>
    </row>
    <row r="54" spans="1:9" x14ac:dyDescent="0.25">
      <c r="A54" s="13">
        <v>39206</v>
      </c>
      <c r="B54" s="13">
        <v>46000</v>
      </c>
      <c r="C54" t="s">
        <v>160</v>
      </c>
      <c r="D54" t="s">
        <v>171</v>
      </c>
      <c r="E54">
        <v>32</v>
      </c>
      <c r="F54">
        <v>156</v>
      </c>
      <c r="G54">
        <f t="shared" si="2"/>
        <v>6794</v>
      </c>
      <c r="H54">
        <f t="shared" si="1"/>
        <v>223</v>
      </c>
      <c r="I54">
        <f t="shared" si="0"/>
        <v>6794</v>
      </c>
    </row>
    <row r="55" spans="1:9" x14ac:dyDescent="0.25">
      <c r="D55" s="55" t="s">
        <v>228</v>
      </c>
      <c r="E55" s="56"/>
      <c r="F55" s="56"/>
      <c r="G55" s="56"/>
    </row>
    <row r="56" spans="1:9" x14ac:dyDescent="0.25">
      <c r="D56" s="56"/>
      <c r="E56" s="56"/>
      <c r="F56" s="56"/>
      <c r="G56" s="56"/>
    </row>
    <row r="57" spans="1:9" x14ac:dyDescent="0.25">
      <c r="A57" t="s">
        <v>222</v>
      </c>
      <c r="B57" t="s">
        <v>223</v>
      </c>
      <c r="C57" t="s">
        <v>224</v>
      </c>
      <c r="D57" t="s">
        <v>164</v>
      </c>
      <c r="E57" t="s">
        <v>227</v>
      </c>
      <c r="F57" t="s">
        <v>224</v>
      </c>
      <c r="G57" t="s">
        <v>164</v>
      </c>
      <c r="H57" t="s">
        <v>225</v>
      </c>
      <c r="I57" t="s">
        <v>226</v>
      </c>
    </row>
    <row r="58" spans="1:9" x14ac:dyDescent="0.25">
      <c r="A58" s="13">
        <v>43549</v>
      </c>
      <c r="B58" s="13">
        <v>46000</v>
      </c>
      <c r="C58" t="s">
        <v>157</v>
      </c>
      <c r="D58" t="s">
        <v>166</v>
      </c>
      <c r="E58">
        <v>25</v>
      </c>
      <c r="F58">
        <v>229</v>
      </c>
      <c r="G58">
        <f>DATEDIF(A58,B58,"D")</f>
        <v>2451</v>
      </c>
      <c r="H58">
        <f>DATEDIF(A58,B58,"M")</f>
        <v>80</v>
      </c>
      <c r="I58">
        <f>DATEDIF(A58,B58,"D")</f>
        <v>2451</v>
      </c>
    </row>
    <row r="59" spans="1:9" x14ac:dyDescent="0.25">
      <c r="A59" s="13">
        <v>44111</v>
      </c>
      <c r="B59" s="13">
        <v>46000</v>
      </c>
      <c r="C59" t="s">
        <v>160</v>
      </c>
      <c r="D59" t="s">
        <v>168</v>
      </c>
      <c r="E59">
        <v>32</v>
      </c>
      <c r="F59">
        <v>365</v>
      </c>
      <c r="G59">
        <f t="shared" ref="G59:G61" si="3">DATEDIF(A59,B59,"D")</f>
        <v>1889</v>
      </c>
      <c r="H59">
        <f t="shared" ref="H59:H65" si="4">DATEDIF(A59,B59,"M")</f>
        <v>62</v>
      </c>
      <c r="I59">
        <f t="shared" ref="I59:I65" si="5">DATEDIF(A59,B59,"D")</f>
        <v>1889</v>
      </c>
    </row>
    <row r="60" spans="1:9" x14ac:dyDescent="0.25">
      <c r="A60" s="13">
        <v>44597</v>
      </c>
      <c r="B60" s="13">
        <v>46000</v>
      </c>
      <c r="C60" t="s">
        <v>158</v>
      </c>
      <c r="D60" t="s">
        <v>171</v>
      </c>
      <c r="E60">
        <v>36</v>
      </c>
      <c r="F60">
        <v>258</v>
      </c>
      <c r="G60">
        <f t="shared" si="3"/>
        <v>1403</v>
      </c>
      <c r="H60">
        <f t="shared" si="4"/>
        <v>46</v>
      </c>
      <c r="I60">
        <f t="shared" si="5"/>
        <v>1403</v>
      </c>
    </row>
    <row r="61" spans="1:9" x14ac:dyDescent="0.25">
      <c r="A61" s="13">
        <v>45113</v>
      </c>
      <c r="B61" s="13">
        <v>46000</v>
      </c>
      <c r="C61" t="s">
        <v>155</v>
      </c>
      <c r="D61" t="s">
        <v>169</v>
      </c>
      <c r="E61">
        <v>98</v>
      </c>
      <c r="F61">
        <v>326</v>
      </c>
      <c r="G61">
        <f t="shared" si="3"/>
        <v>887</v>
      </c>
      <c r="H61">
        <f t="shared" si="4"/>
        <v>29</v>
      </c>
      <c r="I61">
        <f t="shared" si="5"/>
        <v>887</v>
      </c>
    </row>
    <row r="62" spans="1:9" x14ac:dyDescent="0.25">
      <c r="A62" s="13">
        <v>38461</v>
      </c>
      <c r="B62" s="13">
        <v>46000</v>
      </c>
      <c r="C62" t="s">
        <v>159</v>
      </c>
      <c r="D62" t="s">
        <v>171</v>
      </c>
      <c r="E62">
        <v>14</v>
      </c>
      <c r="F62">
        <v>456</v>
      </c>
      <c r="G62">
        <f>DATEDIF(A62,B62,"D")</f>
        <v>7539</v>
      </c>
      <c r="H62">
        <f t="shared" si="4"/>
        <v>247</v>
      </c>
      <c r="I62">
        <f t="shared" si="5"/>
        <v>7539</v>
      </c>
    </row>
    <row r="63" spans="1:9" x14ac:dyDescent="0.25">
      <c r="A63" s="13">
        <v>39206</v>
      </c>
      <c r="B63" s="13">
        <v>46000</v>
      </c>
      <c r="C63" t="s">
        <v>151</v>
      </c>
      <c r="D63" t="s">
        <v>170</v>
      </c>
      <c r="E63">
        <v>45</v>
      </c>
      <c r="F63">
        <v>5</v>
      </c>
      <c r="G63">
        <f>DATEDIF(A63,B63,"D")</f>
        <v>6794</v>
      </c>
      <c r="H63">
        <f t="shared" si="4"/>
        <v>223</v>
      </c>
      <c r="I63">
        <f t="shared" si="5"/>
        <v>6794</v>
      </c>
    </row>
    <row r="64" spans="1:9" x14ac:dyDescent="0.25">
      <c r="A64" s="13">
        <v>45779</v>
      </c>
      <c r="B64" s="13">
        <v>46000</v>
      </c>
      <c r="C64" t="s">
        <v>156</v>
      </c>
      <c r="D64" t="s">
        <v>165</v>
      </c>
      <c r="E64">
        <v>26</v>
      </c>
      <c r="F64">
        <v>254</v>
      </c>
      <c r="G64">
        <f t="shared" ref="G64:G65" si="6">DATEDIF(A64,B64,"D")</f>
        <v>221</v>
      </c>
      <c r="H64">
        <f t="shared" si="4"/>
        <v>7</v>
      </c>
      <c r="I64">
        <f t="shared" si="5"/>
        <v>221</v>
      </c>
    </row>
    <row r="65" spans="1:9" x14ac:dyDescent="0.25">
      <c r="A65" s="13">
        <v>41433</v>
      </c>
      <c r="B65" s="13">
        <v>46000</v>
      </c>
      <c r="C65" t="s">
        <v>160</v>
      </c>
      <c r="D65" t="s">
        <v>166</v>
      </c>
      <c r="E65">
        <v>25</v>
      </c>
      <c r="F65">
        <v>585</v>
      </c>
      <c r="G65">
        <f t="shared" si="6"/>
        <v>4567</v>
      </c>
      <c r="H65">
        <f t="shared" si="4"/>
        <v>150</v>
      </c>
      <c r="I65">
        <f t="shared" si="5"/>
        <v>4567</v>
      </c>
    </row>
    <row r="68" spans="1:9" x14ac:dyDescent="0.25">
      <c r="E68" s="57" t="s">
        <v>229</v>
      </c>
      <c r="F68" s="58"/>
      <c r="G68" s="58"/>
      <c r="H68" s="58"/>
    </row>
    <row r="69" spans="1:9" x14ac:dyDescent="0.25">
      <c r="E69" s="58"/>
      <c r="F69" s="58"/>
      <c r="G69" s="58"/>
      <c r="H69" s="58"/>
    </row>
    <row r="70" spans="1:9" x14ac:dyDescent="0.25">
      <c r="E70" s="58"/>
      <c r="F70" s="58"/>
      <c r="G70" s="58"/>
      <c r="H70" s="58"/>
    </row>
    <row r="72" spans="1:9" x14ac:dyDescent="0.25">
      <c r="A72" t="s">
        <v>222</v>
      </c>
      <c r="B72" t="s">
        <v>223</v>
      </c>
      <c r="C72" t="s">
        <v>224</v>
      </c>
      <c r="D72" t="s">
        <v>164</v>
      </c>
      <c r="E72" t="s">
        <v>227</v>
      </c>
      <c r="F72" t="s">
        <v>224</v>
      </c>
      <c r="G72" t="s">
        <v>164</v>
      </c>
      <c r="H72" t="s">
        <v>225</v>
      </c>
      <c r="I72" t="s">
        <v>230</v>
      </c>
    </row>
    <row r="73" spans="1:9" x14ac:dyDescent="0.25">
      <c r="A73" s="13">
        <v>41069</v>
      </c>
      <c r="B73" s="13">
        <v>45956</v>
      </c>
      <c r="C73" t="s">
        <v>159</v>
      </c>
      <c r="D73" t="s">
        <v>166</v>
      </c>
      <c r="E73">
        <v>85</v>
      </c>
      <c r="F73">
        <v>564</v>
      </c>
      <c r="G73">
        <f>DATEDIF(A73,B73,"D")</f>
        <v>4887</v>
      </c>
      <c r="H73">
        <f>DATEDIF(A73,B73,"M")</f>
        <v>160</v>
      </c>
      <c r="I73">
        <f>DATEDIF(A73,B73,"D")</f>
        <v>4887</v>
      </c>
    </row>
    <row r="74" spans="1:9" x14ac:dyDescent="0.25">
      <c r="A74" s="13">
        <v>45908</v>
      </c>
      <c r="B74" s="13">
        <v>45956</v>
      </c>
      <c r="C74" t="s">
        <v>151</v>
      </c>
      <c r="D74" t="s">
        <v>167</v>
      </c>
      <c r="E74">
        <v>95</v>
      </c>
      <c r="F74">
        <v>916</v>
      </c>
      <c r="G74">
        <f>DATEDIF(A74,B74,"D")</f>
        <v>48</v>
      </c>
      <c r="H74">
        <f>DATEDIF(A74,B74,"M")</f>
        <v>1</v>
      </c>
      <c r="I74">
        <f t="shared" ref="I74:I83" si="7">DATEDIF(A74,B74,"D")</f>
        <v>48</v>
      </c>
    </row>
    <row r="75" spans="1:9" x14ac:dyDescent="0.25">
      <c r="A75" s="13">
        <v>37251</v>
      </c>
      <c r="B75" s="13">
        <v>45956</v>
      </c>
      <c r="C75" t="s">
        <v>156</v>
      </c>
      <c r="D75" t="s">
        <v>166</v>
      </c>
      <c r="E75">
        <v>78</v>
      </c>
      <c r="F75">
        <v>354</v>
      </c>
      <c r="G75">
        <f>DATEDIF(A75,B75,"D")</f>
        <v>8705</v>
      </c>
      <c r="H75">
        <f t="shared" ref="H75:H83" si="8">DATEDIF(A75,B75,"M")</f>
        <v>286</v>
      </c>
      <c r="I75">
        <f>DATEDIF(A75,B75,"D")</f>
        <v>8705</v>
      </c>
    </row>
    <row r="76" spans="1:9" x14ac:dyDescent="0.25">
      <c r="A76" s="13">
        <v>42621</v>
      </c>
      <c r="B76" s="13">
        <v>45956</v>
      </c>
      <c r="C76" t="s">
        <v>160</v>
      </c>
      <c r="D76" t="s">
        <v>168</v>
      </c>
      <c r="E76">
        <v>36</v>
      </c>
      <c r="F76">
        <v>369</v>
      </c>
      <c r="G76">
        <f t="shared" ref="G76:G83" si="9">DATEDIF(A76,B76,"D")</f>
        <v>3335</v>
      </c>
      <c r="H76">
        <f t="shared" si="8"/>
        <v>109</v>
      </c>
      <c r="I76">
        <f t="shared" si="7"/>
        <v>3335</v>
      </c>
    </row>
    <row r="77" spans="1:9" x14ac:dyDescent="0.25">
      <c r="A77" s="13">
        <v>33887</v>
      </c>
      <c r="B77" s="13">
        <v>45956</v>
      </c>
      <c r="C77" t="s">
        <v>158</v>
      </c>
      <c r="D77" t="s">
        <v>171</v>
      </c>
      <c r="E77">
        <v>95</v>
      </c>
      <c r="F77">
        <v>156</v>
      </c>
      <c r="G77">
        <f t="shared" si="9"/>
        <v>12069</v>
      </c>
      <c r="H77">
        <f t="shared" si="8"/>
        <v>396</v>
      </c>
      <c r="I77">
        <f t="shared" si="7"/>
        <v>12069</v>
      </c>
    </row>
    <row r="78" spans="1:9" x14ac:dyDescent="0.25">
      <c r="A78" s="13">
        <v>43549</v>
      </c>
      <c r="B78" s="13">
        <v>45956</v>
      </c>
      <c r="C78" t="s">
        <v>155</v>
      </c>
      <c r="D78" t="s">
        <v>169</v>
      </c>
      <c r="E78">
        <v>25</v>
      </c>
      <c r="F78">
        <v>347</v>
      </c>
      <c r="G78">
        <f t="shared" si="9"/>
        <v>2407</v>
      </c>
      <c r="H78">
        <f t="shared" si="8"/>
        <v>79</v>
      </c>
      <c r="I78">
        <f t="shared" si="7"/>
        <v>2407</v>
      </c>
    </row>
    <row r="79" spans="1:9" x14ac:dyDescent="0.25">
      <c r="A79" s="13">
        <v>44111</v>
      </c>
      <c r="B79" s="13">
        <v>45956</v>
      </c>
      <c r="C79" t="s">
        <v>159</v>
      </c>
      <c r="D79" t="s">
        <v>171</v>
      </c>
      <c r="E79">
        <v>36</v>
      </c>
      <c r="F79">
        <v>125</v>
      </c>
      <c r="G79">
        <f t="shared" si="9"/>
        <v>1845</v>
      </c>
      <c r="H79">
        <f t="shared" si="8"/>
        <v>60</v>
      </c>
      <c r="I79">
        <f t="shared" si="7"/>
        <v>1845</v>
      </c>
    </row>
    <row r="80" spans="1:9" x14ac:dyDescent="0.25">
      <c r="A80" s="13">
        <v>38461</v>
      </c>
      <c r="B80" s="13">
        <v>45956</v>
      </c>
      <c r="C80" t="s">
        <v>151</v>
      </c>
      <c r="D80" t="s">
        <v>170</v>
      </c>
      <c r="E80">
        <v>24</v>
      </c>
      <c r="F80">
        <v>365</v>
      </c>
      <c r="G80">
        <f t="shared" si="9"/>
        <v>7495</v>
      </c>
      <c r="H80">
        <f t="shared" si="8"/>
        <v>246</v>
      </c>
      <c r="I80">
        <f t="shared" si="7"/>
        <v>7495</v>
      </c>
    </row>
    <row r="81" spans="1:9" x14ac:dyDescent="0.25">
      <c r="A81" s="13">
        <v>39206</v>
      </c>
      <c r="B81" s="13">
        <v>45956</v>
      </c>
      <c r="C81" t="s">
        <v>161</v>
      </c>
      <c r="D81" t="s">
        <v>168</v>
      </c>
      <c r="E81">
        <v>54</v>
      </c>
      <c r="F81">
        <v>485</v>
      </c>
      <c r="G81">
        <f t="shared" si="9"/>
        <v>6750</v>
      </c>
      <c r="H81">
        <f t="shared" si="8"/>
        <v>221</v>
      </c>
      <c r="I81">
        <f t="shared" si="7"/>
        <v>6750</v>
      </c>
    </row>
    <row r="82" spans="1:9" x14ac:dyDescent="0.25">
      <c r="A82" s="13">
        <v>45779</v>
      </c>
      <c r="B82" s="13">
        <v>45956</v>
      </c>
      <c r="C82" t="s">
        <v>154</v>
      </c>
      <c r="D82" t="s">
        <v>171</v>
      </c>
      <c r="E82">
        <v>95</v>
      </c>
      <c r="F82">
        <v>916</v>
      </c>
      <c r="G82">
        <f>DATEDIF(A82,B82,"D")</f>
        <v>177</v>
      </c>
      <c r="H82">
        <f t="shared" si="8"/>
        <v>5</v>
      </c>
      <c r="I82">
        <f t="shared" si="7"/>
        <v>177</v>
      </c>
    </row>
    <row r="83" spans="1:9" x14ac:dyDescent="0.25">
      <c r="A83" s="13">
        <v>41433</v>
      </c>
      <c r="B83" s="13">
        <v>45956</v>
      </c>
      <c r="C83" t="s">
        <v>155</v>
      </c>
      <c r="D83" t="s">
        <v>169</v>
      </c>
      <c r="E83">
        <v>87</v>
      </c>
      <c r="F83">
        <v>741</v>
      </c>
      <c r="G83">
        <f t="shared" si="9"/>
        <v>4523</v>
      </c>
      <c r="H83">
        <f t="shared" si="8"/>
        <v>148</v>
      </c>
      <c r="I83">
        <f t="shared" si="7"/>
        <v>4523</v>
      </c>
    </row>
  </sheetData>
  <mergeCells count="3">
    <mergeCell ref="E39:L40"/>
    <mergeCell ref="D55:G56"/>
    <mergeCell ref="E68:H7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Sheet1</vt:lpstr>
      <vt:lpstr>Sheet15</vt:lpstr>
      <vt:lpstr>Sheet2</vt:lpstr>
      <vt:lpstr>Sheet3</vt:lpstr>
      <vt:lpstr>Sheet14</vt:lpstr>
      <vt:lpstr>Sheet4</vt:lpstr>
      <vt:lpstr>Sheet18</vt:lpstr>
      <vt:lpstr>Sheet5</vt:lpstr>
      <vt:lpstr>Sheet8</vt:lpstr>
      <vt:lpstr>Sheet6</vt:lpstr>
      <vt:lpstr>Sheet7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Foundation</dc:creator>
  <cp:lastModifiedBy>Smile Foundation</cp:lastModifiedBy>
  <dcterms:created xsi:type="dcterms:W3CDTF">2025-12-05T05:42:21Z</dcterms:created>
  <dcterms:modified xsi:type="dcterms:W3CDTF">2025-12-20T06:43:34Z</dcterms:modified>
</cp:coreProperties>
</file>